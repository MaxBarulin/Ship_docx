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ycharmProjects\Ship_docx\docs\проект\"/>
    </mc:Choice>
  </mc:AlternateContent>
  <bookViews>
    <workbookView xWindow="0" yWindow="0" windowWidth="23040" windowHeight="11964"/>
  </bookViews>
  <sheets>
    <sheet name="Калькуляция" sheetId="1" r:id="rId1"/>
    <sheet name="Исходные" sheetId="2" r:id="rId2"/>
    <sheet name="ДЗП" sheetId="3" r:id="rId3"/>
    <sheet name="Взносы" sheetId="4" r:id="rId4"/>
    <sheet name="Материалы" sheetId="5" r:id="rId5"/>
    <sheet name="ПКИ" sheetId="6" r:id="rId6"/>
    <sheet name="Трудоёмкость" sheetId="7" r:id="rId7"/>
    <sheet name="ФОТ" sheetId="8" r:id="rId8"/>
    <sheet name="АУП и ИТР" sheetId="9" r:id="rId9"/>
    <sheet name="Обучение" sheetId="10" r:id="rId10"/>
    <sheet name="Маркетинг" sheetId="11" r:id="rId11"/>
    <sheet name="НИОКР" sheetId="12" r:id="rId12"/>
    <sheet name="Капзатраты" sheetId="13" r:id="rId13"/>
    <sheet name="Безубыточность" sheetId="14" r:id="rId14"/>
    <sheet name="Окупаемость" sheetId="15" r:id="rId15"/>
  </sheets>
  <calcPr calcId="162913"/>
</workbook>
</file>

<file path=xl/calcChain.xml><?xml version="1.0" encoding="utf-8"?>
<calcChain xmlns="http://schemas.openxmlformats.org/spreadsheetml/2006/main">
  <c r="G13" i="15" l="1"/>
  <c r="G12" i="15"/>
  <c r="G11" i="15"/>
  <c r="G10" i="15"/>
  <c r="G9" i="15"/>
  <c r="G8" i="15"/>
  <c r="G7" i="15"/>
  <c r="G6" i="15"/>
  <c r="G5" i="15"/>
  <c r="G4" i="15"/>
  <c r="D26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B9" i="12"/>
  <c r="C7" i="11"/>
  <c r="C12" i="11" s="1"/>
  <c r="E14" i="10"/>
  <c r="G14" i="10" s="1"/>
  <c r="E13" i="10"/>
  <c r="G13" i="10" s="1"/>
  <c r="E12" i="10"/>
  <c r="G12" i="10" s="1"/>
  <c r="G11" i="10"/>
  <c r="E11" i="10"/>
  <c r="E10" i="10"/>
  <c r="G10" i="10" s="1"/>
  <c r="G9" i="10"/>
  <c r="E9" i="10"/>
  <c r="E8" i="10"/>
  <c r="G8" i="10" s="1"/>
  <c r="E7" i="10"/>
  <c r="G7" i="10" s="1"/>
  <c r="E6" i="10"/>
  <c r="G6" i="10" s="1"/>
  <c r="E5" i="10"/>
  <c r="G5" i="10" s="1"/>
  <c r="E4" i="10"/>
  <c r="G4" i="10" s="1"/>
  <c r="B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E19" i="8"/>
  <c r="F19" i="8" s="1"/>
  <c r="E18" i="8"/>
  <c r="F18" i="8" s="1"/>
  <c r="E17" i="8"/>
  <c r="F17" i="8" s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E9" i="8"/>
  <c r="F9" i="8" s="1"/>
  <c r="E8" i="8"/>
  <c r="F8" i="8" s="1"/>
  <c r="E7" i="8"/>
  <c r="F7" i="8" s="1"/>
  <c r="E6" i="8"/>
  <c r="F6" i="8" s="1"/>
  <c r="E5" i="8"/>
  <c r="F5" i="8" s="1"/>
  <c r="F4" i="8"/>
  <c r="E4" i="8"/>
  <c r="B13" i="7"/>
  <c r="H12" i="7"/>
  <c r="C14" i="8" s="1"/>
  <c r="G14" i="8" s="1"/>
  <c r="C12" i="7"/>
  <c r="I12" i="7" s="1"/>
  <c r="C19" i="8" s="1"/>
  <c r="H11" i="7"/>
  <c r="C13" i="8" s="1"/>
  <c r="G13" i="8" s="1"/>
  <c r="G11" i="7"/>
  <c r="C6" i="8" s="1"/>
  <c r="G6" i="8" s="1"/>
  <c r="C11" i="7"/>
  <c r="I11" i="7" s="1"/>
  <c r="C10" i="7"/>
  <c r="I10" i="7" s="1"/>
  <c r="C18" i="8" s="1"/>
  <c r="G18" i="8" s="1"/>
  <c r="C9" i="7"/>
  <c r="I9" i="7" s="1"/>
  <c r="C17" i="8" s="1"/>
  <c r="G17" i="8" s="1"/>
  <c r="H8" i="7"/>
  <c r="C11" i="8" s="1"/>
  <c r="G11" i="8" s="1"/>
  <c r="C8" i="7"/>
  <c r="I8" i="7" s="1"/>
  <c r="C16" i="8" s="1"/>
  <c r="H7" i="7"/>
  <c r="C10" i="8" s="1"/>
  <c r="G10" i="8" s="1"/>
  <c r="G7" i="7"/>
  <c r="C7" i="7"/>
  <c r="I7" i="7" s="1"/>
  <c r="C15" i="8" s="1"/>
  <c r="C6" i="7"/>
  <c r="I6" i="7" s="1"/>
  <c r="C5" i="7"/>
  <c r="I5" i="7" s="1"/>
  <c r="H4" i="7"/>
  <c r="C7" i="8" s="1"/>
  <c r="C4" i="7"/>
  <c r="E8" i="6"/>
  <c r="E7" i="6"/>
  <c r="E6" i="6"/>
  <c r="E5" i="6"/>
  <c r="E4" i="6"/>
  <c r="H19" i="5"/>
  <c r="G19" i="5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C11" i="5"/>
  <c r="G10" i="5"/>
  <c r="C10" i="5"/>
  <c r="H10" i="5" s="1"/>
  <c r="G9" i="5"/>
  <c r="H9" i="5" s="1"/>
  <c r="C9" i="5"/>
  <c r="G8" i="5"/>
  <c r="C8" i="5"/>
  <c r="H8" i="5" s="1"/>
  <c r="G7" i="5"/>
  <c r="C7" i="5"/>
  <c r="G6" i="5"/>
  <c r="H6" i="5" s="1"/>
  <c r="C6" i="5"/>
  <c r="G5" i="5"/>
  <c r="C5" i="5"/>
  <c r="G4" i="5"/>
  <c r="C4" i="5"/>
  <c r="B8" i="4"/>
  <c r="B7" i="3"/>
  <c r="B9" i="3" s="1"/>
  <c r="E4" i="1"/>
  <c r="D4" i="1"/>
  <c r="G15" i="10" l="1"/>
  <c r="G6" i="7"/>
  <c r="G10" i="7"/>
  <c r="H5" i="5"/>
  <c r="H7" i="5"/>
  <c r="C13" i="7"/>
  <c r="G5" i="7"/>
  <c r="C5" i="8" s="1"/>
  <c r="G5" i="8" s="1"/>
  <c r="H5" i="8" s="1"/>
  <c r="I5" i="8" s="1"/>
  <c r="H6" i="7"/>
  <c r="C9" i="8" s="1"/>
  <c r="G9" i="8" s="1"/>
  <c r="G16" i="8"/>
  <c r="G9" i="7"/>
  <c r="H10" i="7"/>
  <c r="H13" i="7" s="1"/>
  <c r="D21" i="1" s="1"/>
  <c r="G19" i="8"/>
  <c r="E9" i="6"/>
  <c r="C6" i="1" s="1"/>
  <c r="B6" i="1" s="1"/>
  <c r="C10" i="11"/>
  <c r="H4" i="5"/>
  <c r="H20" i="5" s="1"/>
  <c r="C5" i="1" s="1"/>
  <c r="H11" i="5"/>
  <c r="G4" i="7"/>
  <c r="H5" i="7"/>
  <c r="C8" i="8" s="1"/>
  <c r="G8" i="8" s="1"/>
  <c r="G8" i="7"/>
  <c r="H9" i="7"/>
  <c r="C12" i="8" s="1"/>
  <c r="G12" i="8" s="1"/>
  <c r="G12" i="7"/>
  <c r="D22" i="13"/>
  <c r="C5" i="15" s="1"/>
  <c r="H18" i="8"/>
  <c r="I18" i="8" s="1"/>
  <c r="B3" i="12"/>
  <c r="G18" i="9"/>
  <c r="G14" i="9"/>
  <c r="H14" i="9" s="1"/>
  <c r="G10" i="9"/>
  <c r="G6" i="9"/>
  <c r="G16" i="9"/>
  <c r="G8" i="9"/>
  <c r="H8" i="9" s="1"/>
  <c r="G4" i="9"/>
  <c r="G20" i="9"/>
  <c r="G12" i="9"/>
  <c r="H17" i="8"/>
  <c r="I17" i="8" s="1"/>
  <c r="H13" i="8"/>
  <c r="I13" i="8" s="1"/>
  <c r="H6" i="8"/>
  <c r="I6" i="8"/>
  <c r="H9" i="8"/>
  <c r="I9" i="8" s="1"/>
  <c r="H16" i="8"/>
  <c r="I16" i="8"/>
  <c r="H19" i="8"/>
  <c r="I19" i="8" s="1"/>
  <c r="I11" i="8"/>
  <c r="H11" i="8"/>
  <c r="C24" i="8"/>
  <c r="G15" i="8"/>
  <c r="H10" i="8"/>
  <c r="G9" i="9"/>
  <c r="H9" i="9" s="1"/>
  <c r="I4" i="7"/>
  <c r="I13" i="7" s="1"/>
  <c r="E21" i="1" s="1"/>
  <c r="I10" i="8"/>
  <c r="H6" i="9"/>
  <c r="G11" i="9"/>
  <c r="G19" i="9"/>
  <c r="H8" i="8"/>
  <c r="I8" i="8" s="1"/>
  <c r="H12" i="8"/>
  <c r="I12" i="8" s="1"/>
  <c r="H14" i="8"/>
  <c r="I14" i="8" s="1"/>
  <c r="G17" i="9"/>
  <c r="H17" i="9" s="1"/>
  <c r="G7" i="8"/>
  <c r="G5" i="9"/>
  <c r="H5" i="9" s="1"/>
  <c r="G13" i="9"/>
  <c r="H13" i="9" s="1"/>
  <c r="G21" i="9"/>
  <c r="H21" i="9" s="1"/>
  <c r="H4" i="9"/>
  <c r="G7" i="9"/>
  <c r="H10" i="9"/>
  <c r="G15" i="9"/>
  <c r="H15" i="9" s="1"/>
  <c r="I15" i="9" s="1"/>
  <c r="H20" i="9"/>
  <c r="C11" i="11"/>
  <c r="I13" i="9"/>
  <c r="H11" i="9" l="1"/>
  <c r="I11" i="9" s="1"/>
  <c r="I9" i="9"/>
  <c r="N9" i="9" s="1"/>
  <c r="C4" i="8"/>
  <c r="G13" i="7"/>
  <c r="C21" i="1" s="1"/>
  <c r="B21" i="1" s="1"/>
  <c r="I5" i="9"/>
  <c r="I21" i="9"/>
  <c r="N21" i="9" s="1"/>
  <c r="N26" i="9" s="1"/>
  <c r="D15" i="1" s="1"/>
  <c r="C23" i="8"/>
  <c r="O15" i="9"/>
  <c r="N15" i="9"/>
  <c r="M15" i="9"/>
  <c r="H18" i="9"/>
  <c r="I18" i="9" s="1"/>
  <c r="I17" i="9"/>
  <c r="H7" i="9"/>
  <c r="I7" i="9" s="1"/>
  <c r="H19" i="9"/>
  <c r="I19" i="9" s="1"/>
  <c r="I20" i="9"/>
  <c r="I6" i="9"/>
  <c r="G7" i="12"/>
  <c r="F6" i="12"/>
  <c r="G8" i="12"/>
  <c r="F7" i="12"/>
  <c r="F8" i="12"/>
  <c r="H8" i="12" s="1"/>
  <c r="G6" i="12"/>
  <c r="N5" i="9"/>
  <c r="M5" i="9"/>
  <c r="O5" i="9"/>
  <c r="B5" i="1"/>
  <c r="C7" i="1"/>
  <c r="B7" i="1" s="1"/>
  <c r="I4" i="9"/>
  <c r="I10" i="9"/>
  <c r="N13" i="9"/>
  <c r="M13" i="9"/>
  <c r="O13" i="9"/>
  <c r="H12" i="9"/>
  <c r="I12" i="9" s="1"/>
  <c r="H7" i="8"/>
  <c r="H23" i="8" s="1"/>
  <c r="D10" i="1" s="1"/>
  <c r="G23" i="8"/>
  <c r="D9" i="1" s="1"/>
  <c r="H16" i="9"/>
  <c r="I16" i="9" s="1"/>
  <c r="H15" i="8"/>
  <c r="H24" i="8" s="1"/>
  <c r="E10" i="1" s="1"/>
  <c r="G24" i="8"/>
  <c r="E9" i="1" s="1"/>
  <c r="I8" i="9"/>
  <c r="I14" i="9"/>
  <c r="O11" i="9" l="1"/>
  <c r="N11" i="9"/>
  <c r="M11" i="9"/>
  <c r="O9" i="9"/>
  <c r="O21" i="9"/>
  <c r="O26" i="9" s="1"/>
  <c r="E15" i="1" s="1"/>
  <c r="M9" i="9"/>
  <c r="C4" i="1"/>
  <c r="M21" i="9"/>
  <c r="M26" i="9" s="1"/>
  <c r="C15" i="1" s="1"/>
  <c r="B15" i="1" s="1"/>
  <c r="I7" i="8"/>
  <c r="I23" i="8" s="1"/>
  <c r="D11" i="1" s="1"/>
  <c r="C22" i="8"/>
  <c r="G4" i="8"/>
  <c r="O7" i="9"/>
  <c r="N7" i="9"/>
  <c r="M7" i="9"/>
  <c r="M16" i="9"/>
  <c r="O16" i="9"/>
  <c r="N16" i="9"/>
  <c r="M8" i="9"/>
  <c r="O8" i="9"/>
  <c r="N8" i="9"/>
  <c r="M12" i="9"/>
  <c r="O12" i="9"/>
  <c r="N12" i="9"/>
  <c r="N24" i="9" s="1"/>
  <c r="D12" i="1" s="1"/>
  <c r="O19" i="9"/>
  <c r="N19" i="9"/>
  <c r="M19" i="9"/>
  <c r="E8" i="1"/>
  <c r="D8" i="1"/>
  <c r="M4" i="9"/>
  <c r="I22" i="9"/>
  <c r="B8" i="14" s="1"/>
  <c r="O4" i="9"/>
  <c r="N4" i="9"/>
  <c r="H7" i="12"/>
  <c r="O6" i="9"/>
  <c r="N6" i="9"/>
  <c r="M6" i="9"/>
  <c r="N17" i="9"/>
  <c r="M17" i="9"/>
  <c r="O17" i="9"/>
  <c r="B4" i="1"/>
  <c r="B4" i="14" s="1"/>
  <c r="M20" i="9"/>
  <c r="O20" i="9"/>
  <c r="N20" i="9"/>
  <c r="O18" i="9"/>
  <c r="N18" i="9"/>
  <c r="M18" i="9"/>
  <c r="O10" i="9"/>
  <c r="N10" i="9"/>
  <c r="M10" i="9"/>
  <c r="O14" i="9"/>
  <c r="N14" i="9"/>
  <c r="M14" i="9"/>
  <c r="I15" i="8"/>
  <c r="I24" i="8" s="1"/>
  <c r="E11" i="1" s="1"/>
  <c r="G9" i="12"/>
  <c r="B5" i="15" s="1"/>
  <c r="F9" i="12"/>
  <c r="B4" i="15" s="1"/>
  <c r="F4" i="15" s="1"/>
  <c r="H6" i="12"/>
  <c r="H4" i="8" l="1"/>
  <c r="H22" i="8" s="1"/>
  <c r="C10" i="1" s="1"/>
  <c r="B10" i="1" s="1"/>
  <c r="G22" i="8"/>
  <c r="C9" i="1" s="1"/>
  <c r="O24" i="9"/>
  <c r="E12" i="1" s="1"/>
  <c r="E14" i="1" s="1"/>
  <c r="E16" i="1" s="1"/>
  <c r="D7" i="15" s="1"/>
  <c r="F7" i="15" s="1"/>
  <c r="H7" i="15" s="1"/>
  <c r="O25" i="9"/>
  <c r="E13" i="1" s="1"/>
  <c r="O22" i="9"/>
  <c r="H9" i="12"/>
  <c r="M24" i="9"/>
  <c r="C12" i="1" s="1"/>
  <c r="M22" i="9"/>
  <c r="M25" i="9"/>
  <c r="C13" i="1" s="1"/>
  <c r="I4" i="15"/>
  <c r="H4" i="15"/>
  <c r="N25" i="9"/>
  <c r="D13" i="1" s="1"/>
  <c r="D14" i="1" s="1"/>
  <c r="D16" i="1" s="1"/>
  <c r="D6" i="15" s="1"/>
  <c r="F6" i="15" s="1"/>
  <c r="H6" i="15" s="1"/>
  <c r="N22" i="9"/>
  <c r="C8" i="1" l="1"/>
  <c r="B8" i="1" s="1"/>
  <c r="B9" i="1"/>
  <c r="I4" i="8"/>
  <c r="I22" i="8" s="1"/>
  <c r="C11" i="1" s="1"/>
  <c r="B11" i="1" s="1"/>
  <c r="B13" i="1"/>
  <c r="J4" i="15"/>
  <c r="B12" i="1"/>
  <c r="C14" i="1" l="1"/>
  <c r="B5" i="14"/>
  <c r="B6" i="14" s="1"/>
  <c r="B7" i="14" s="1"/>
  <c r="B9" i="14" s="1"/>
  <c r="B14" i="1"/>
  <c r="C16" i="1"/>
  <c r="D10" i="15" l="1"/>
  <c r="D12" i="15"/>
  <c r="D9" i="15"/>
  <c r="B10" i="14"/>
  <c r="D13" i="15"/>
  <c r="D11" i="15"/>
  <c r="D5" i="15"/>
  <c r="F5" i="15" s="1"/>
  <c r="B16" i="1"/>
  <c r="E13" i="15" l="1"/>
  <c r="F13" i="15" s="1"/>
  <c r="H13" i="15" s="1"/>
  <c r="E9" i="15"/>
  <c r="F9" i="15" s="1"/>
  <c r="H9" i="15" s="1"/>
  <c r="E12" i="15"/>
  <c r="F12" i="15" s="1"/>
  <c r="H12" i="15" s="1"/>
  <c r="E11" i="15"/>
  <c r="F11" i="15" s="1"/>
  <c r="H11" i="15" s="1"/>
  <c r="B11" i="14"/>
  <c r="B12" i="14" s="1"/>
  <c r="E10" i="15"/>
  <c r="F10" i="15" s="1"/>
  <c r="H10" i="15" s="1"/>
  <c r="B17" i="1"/>
  <c r="B18" i="1"/>
  <c r="H5" i="15"/>
  <c r="I5" i="15"/>
  <c r="F16" i="15" l="1"/>
  <c r="J5" i="15"/>
  <c r="E8" i="15"/>
  <c r="F8" i="15" s="1"/>
  <c r="B19" i="1"/>
  <c r="B20" i="1" s="1"/>
  <c r="K5" i="15"/>
  <c r="I6" i="15"/>
  <c r="J6" i="15" l="1"/>
  <c r="L5" i="15"/>
  <c r="H8" i="15"/>
  <c r="F15" i="15" s="1"/>
  <c r="F17" i="15" s="1"/>
  <c r="F18" i="15"/>
  <c r="K6" i="15"/>
  <c r="I7" i="15"/>
  <c r="K7" i="15" l="1"/>
  <c r="I8" i="15"/>
  <c r="J7" i="15"/>
  <c r="L6" i="15"/>
  <c r="J8" i="15" l="1"/>
  <c r="L7" i="15"/>
  <c r="K8" i="15"/>
  <c r="I9" i="15"/>
  <c r="I10" i="15" l="1"/>
  <c r="K9" i="15"/>
  <c r="J9" i="15"/>
  <c r="L8" i="15"/>
  <c r="L9" i="15" l="1"/>
  <c r="J10" i="15"/>
  <c r="K10" i="15"/>
  <c r="I11" i="15"/>
  <c r="K11" i="15" l="1"/>
  <c r="I12" i="15"/>
  <c r="L10" i="15"/>
  <c r="J11" i="15"/>
  <c r="K12" i="15" l="1"/>
  <c r="I13" i="15"/>
  <c r="K13" i="15" s="1"/>
  <c r="F19" i="15" s="1"/>
  <c r="L11" i="15"/>
  <c r="J12" i="15"/>
  <c r="J13" i="15" l="1"/>
  <c r="L13" i="15" s="1"/>
  <c r="L12" i="15"/>
  <c r="F20" i="15" l="1"/>
</calcChain>
</file>

<file path=xl/sharedStrings.xml><?xml version="1.0" encoding="utf-8"?>
<sst xmlns="http://schemas.openxmlformats.org/spreadsheetml/2006/main" count="484" uniqueCount="365">
  <si>
    <t>Калькуляция себестоимости и цены головного судна, руб.</t>
  </si>
  <si>
    <t>Статья</t>
  </si>
  <si>
    <t>Всего</t>
  </si>
  <si>
    <t>2027</t>
  </si>
  <si>
    <t>2028</t>
  </si>
  <si>
    <t>2029</t>
  </si>
  <si>
    <t>Примечание</t>
  </si>
  <si>
    <t>Материальные затраты</t>
  </si>
  <si>
    <t xml:space="preserve">   сырьё, материалы, вспомогательные материалы</t>
  </si>
  <si>
    <t>закупка по договорам 2027 года</t>
  </si>
  <si>
    <t xml:space="preserve">   покупные комплектующие изделия</t>
  </si>
  <si>
    <t>технико-коммерческие предложения</t>
  </si>
  <si>
    <t xml:space="preserve">   транспортно-заготовительные расходы</t>
  </si>
  <si>
    <t>Затраты на оплату труда</t>
  </si>
  <si>
    <t xml:space="preserve">   основная заработная плата</t>
  </si>
  <si>
    <t xml:space="preserve">   дополнительная заработная плата</t>
  </si>
  <si>
    <t>Страховые взносы</t>
  </si>
  <si>
    <t>Общепроизводственные затраты</t>
  </si>
  <si>
    <t>руководство производством, обучение</t>
  </si>
  <si>
    <t>Общехозяйственные затраты</t>
  </si>
  <si>
    <t>инженерная и управленческая группа</t>
  </si>
  <si>
    <t>Производственная себестоимость</t>
  </si>
  <si>
    <t>Коммерческие расходы</t>
  </si>
  <si>
    <t>маркетинг, связи с общественностью</t>
  </si>
  <si>
    <t>Полная себестоимость</t>
  </si>
  <si>
    <t>Прибыль</t>
  </si>
  <si>
    <t>рентабельность к полной себестоимости</t>
  </si>
  <si>
    <t>Цена судна без НДС</t>
  </si>
  <si>
    <t>НДС</t>
  </si>
  <si>
    <t>Цена судна с НДС</t>
  </si>
  <si>
    <t>Трудоёмкость, н·ч</t>
  </si>
  <si>
    <t>Исходные данные расчёта</t>
  </si>
  <si>
    <t>Параметр</t>
  </si>
  <si>
    <t>Значение</t>
  </si>
  <si>
    <t>Ед.</t>
  </si>
  <si>
    <t>Основание</t>
  </si>
  <si>
    <t>%</t>
  </si>
  <si>
    <t>с 2026 года</t>
  </si>
  <si>
    <t>Транспортно-заготовительные расходы от материалов и ПКИ</t>
  </si>
  <si>
    <t>норматив верфи</t>
  </si>
  <si>
    <t>Коэффициент использования металла</t>
  </si>
  <si>
    <t>корпус и надстройка, 0,80…0,90</t>
  </si>
  <si>
    <t>Масса корпуса металлического, сталь D36</t>
  </si>
  <si>
    <t>т</t>
  </si>
  <si>
    <t>нагрузка масс проекта</t>
  </si>
  <si>
    <t>Масса надстройки и рубки, АМг5</t>
  </si>
  <si>
    <t>Коэффициент выполнения норм</t>
  </si>
  <si>
    <t>Приказ Минпромторга № 822</t>
  </si>
  <si>
    <t>Коэффициент головного судна к серийному</t>
  </si>
  <si>
    <t>Приказ Минпромторга № 958, прил. 7</t>
  </si>
  <si>
    <t>Премия АУП и ИТР к окладу</t>
  </si>
  <si>
    <t>положение об оплате труда</t>
  </si>
  <si>
    <t>Фонд рабочего времени в месяц</t>
  </si>
  <si>
    <t>ч</t>
  </si>
  <si>
    <t>247 рабочих дней × 8 ч / 12</t>
  </si>
  <si>
    <t>Рентабельность к полной себестоимости</t>
  </si>
  <si>
    <t>принята для гражданского судна</t>
  </si>
  <si>
    <t>Ставка дисконтирования</t>
  </si>
  <si>
    <t>ключевая ставка Банка России с премией за риск</t>
  </si>
  <si>
    <t>Серийных судов после головного, по одному в год</t>
  </si>
  <si>
    <t>шт.</t>
  </si>
  <si>
    <t>рынок принимает до 21 судна</t>
  </si>
  <si>
    <t>Рост цен после 2029 года</t>
  </si>
  <si>
    <t>% в год</t>
  </si>
  <si>
    <t>прогноз инфляции</t>
  </si>
  <si>
    <t>Индекс цен и оплаты труда 2026</t>
  </si>
  <si>
    <t>базовый год</t>
  </si>
  <si>
    <t>Индекс цен и оплаты труда 2027</t>
  </si>
  <si>
    <t>прогноз</t>
  </si>
  <si>
    <t>Индекс цен и оплаты труда 2028</t>
  </si>
  <si>
    <t>Индекс цен и оплаты труда 2029</t>
  </si>
  <si>
    <t>Дополнительная заработная плата</t>
  </si>
  <si>
    <t>Наименование</t>
  </si>
  <si>
    <t>Дней в году</t>
  </si>
  <si>
    <t>Ежегодный основной и дополнительный отпуск</t>
  </si>
  <si>
    <t>Временная нетрудоспособность</t>
  </si>
  <si>
    <t>Медицинское обследование, донорские дни и отдых после них</t>
  </si>
  <si>
    <t>Итого</t>
  </si>
  <si>
    <t>База - рабочих дней в году</t>
  </si>
  <si>
    <t>ДЗП к основной заработной плате</t>
  </si>
  <si>
    <t>Вид страхования</t>
  </si>
  <si>
    <t>Ставка</t>
  </si>
  <si>
    <t>Обязательное пенсионное страхование</t>
  </si>
  <si>
    <t>Обязательное медицинское страхование</t>
  </si>
  <si>
    <t>Временная нетрудоспособность и материнство</t>
  </si>
  <si>
    <t>От несчастных случаев на производстве и профзаболеваний, по ОКВЭД</t>
  </si>
  <si>
    <t>Сырьё, материалы и вспомогательные материалы</t>
  </si>
  <si>
    <t>Количество</t>
  </si>
  <si>
    <t>Доля в группе</t>
  </si>
  <si>
    <t>Цена за ед. с НДС, 2026</t>
  </si>
  <si>
    <t>Индекс к 2027</t>
  </si>
  <si>
    <t>Цена за ед. без НДС, 2027</t>
  </si>
  <si>
    <t>Сумма, руб.</t>
  </si>
  <si>
    <t>Поставщик</t>
  </si>
  <si>
    <t>Сайт</t>
  </si>
  <si>
    <t>Лист судостроительный 10×1600×6000, категория D36</t>
  </si>
  <si>
    <t>АО «Металлсервис»</t>
  </si>
  <si>
    <t>mc.ru</t>
  </si>
  <si>
    <t>Лист стальной 24×2000×6000, D36 ГОСТ Р 52927-2015</t>
  </si>
  <si>
    <t>торговая площадка «Пульс цен»</t>
  </si>
  <si>
    <t>pulscen.ru</t>
  </si>
  <si>
    <t>Лист низколегированный 6×1500×6000, 09Г2С-15</t>
  </si>
  <si>
    <t>Швеллер 12П, 09Г2С-15, длина 12 м</t>
  </si>
  <si>
    <t>Лист АМг5М 6×1500×4000</t>
  </si>
  <si>
    <t>ООО «Невская Алюминиевая Компания»</t>
  </si>
  <si>
    <t>spbalum.ru</t>
  </si>
  <si>
    <t>Тавр АМг5 20×20×2 ГОСТ 13622-91</t>
  </si>
  <si>
    <t>«Металл-союз»</t>
  </si>
  <si>
    <t>metsklad.ru</t>
  </si>
  <si>
    <t>Уголок АМг5 50×30×3</t>
  </si>
  <si>
    <t>ПКФ «Металл СВ»</t>
  </si>
  <si>
    <t>sv-metal.ru</t>
  </si>
  <si>
    <t>Уголок АМг5 40×25×4</t>
  </si>
  <si>
    <t>Компания «Мост»</t>
  </si>
  <si>
    <t>moststal.ru</t>
  </si>
  <si>
    <t>Труба бесшовная DN40…DN125, Ст20 и 09Г2С, ГОСТ 8732</t>
  </si>
  <si>
    <t>ООО МК «Буран»</t>
  </si>
  <si>
    <t>buranmetall.ru</t>
  </si>
  <si>
    <t>Труба бесшовная DN20…DN80, 12Х18Н10Т</t>
  </si>
  <si>
    <t>ООО ТК «ИноксМаркет»</t>
  </si>
  <si>
    <t>inoxmarket.ru</t>
  </si>
  <si>
    <t>Труба ПНД и ПП DN50…DN225, судовая негорючая</t>
  </si>
  <si>
    <t>км</t>
  </si>
  <si>
    <t>компания «Энерго Пайп»</t>
  </si>
  <si>
    <t>energo-pipe.ru</t>
  </si>
  <si>
    <t>Судовая арматура, фланцы, клапаны с уплотнением PTFE для метанола</t>
  </si>
  <si>
    <t>ООО «ТД Ватервальве»</t>
  </si>
  <si>
    <t>shop-watervalve.ru</t>
  </si>
  <si>
    <t>Кабель силовой, контрольный, огнестойкий, слаботочный</t>
  </si>
  <si>
    <t>ООО «СнабКабель»</t>
  </si>
  <si>
    <t>snabcable.ru</t>
  </si>
  <si>
    <t>Кабельные трассы (лотки), сальники, проходки</t>
  </si>
  <si>
    <t>АО «ДКС»</t>
  </si>
  <si>
    <t>dkc.ru</t>
  </si>
  <si>
    <t>Грунт эпоксидный и покрытие Foul Release для пресной воды</t>
  </si>
  <si>
    <t>компл.</t>
  </si>
  <si>
    <t>ГК «ДЖИФЛЕКС»</t>
  </si>
  <si>
    <t>gflex.ru</t>
  </si>
  <si>
    <t>Грунт и полиуретановая эмаль, стойкая к УФ</t>
  </si>
  <si>
    <t>кг</t>
  </si>
  <si>
    <t>магазин красок «Колор»</t>
  </si>
  <si>
    <t>color1.ru</t>
  </si>
  <si>
    <t>Итого материалы</t>
  </si>
  <si>
    <t>Покупные комплектующие изделия</t>
  </si>
  <si>
    <t>Кол.</t>
  </si>
  <si>
    <t>Цена за ед. без НДС, руб.</t>
  </si>
  <si>
    <t>Оборудование дизель-электрического комплекса - три двухтопливных дизель-генератора 600 кВт (дизель, метанол), ГРЩ, гребные электродвигатели колёс 2 × 550 кВт, преобразователи</t>
  </si>
  <si>
    <t>Weichai Power Co., Ltd. (Marine Division)</t>
  </si>
  <si>
    <t>ТКП № 1</t>
  </si>
  <si>
    <t>Гребные колёса с механизмом поворота плиц и сопутствующее оборудование</t>
  </si>
  <si>
    <t>ООО «Плато-Инжиниринг»</t>
  </si>
  <si>
    <t>ТКП № 2</t>
  </si>
  <si>
    <t>Оборудование и арматура общесудовых систем и систем СЭУ</t>
  </si>
  <si>
    <t>ООО «Промтехнологии»</t>
  </si>
  <si>
    <t>ТКП № 3</t>
  </si>
  <si>
    <t>Система вентиляции и кондиционирования воздуха</t>
  </si>
  <si>
    <t>поставщик по ТКП № 4</t>
  </si>
  <si>
    <t>ТКП № 4</t>
  </si>
  <si>
    <t>Фундаменты-замки модулей солнечной палубы ВГ-2026.46.00 (твистлок «ласточкин хвост»), с ЗИП и испытаниями</t>
  </si>
  <si>
    <t>цех узла верфи</t>
  </si>
  <si>
    <t>себестоимость узла</t>
  </si>
  <si>
    <t>Итого ПКИ</t>
  </si>
  <si>
    <t>Трудоёмкость постройки головного судна</t>
  </si>
  <si>
    <t>Вид работ</t>
  </si>
  <si>
    <t>Трудоёмкость, чел·ч</t>
  </si>
  <si>
    <t>Доля 2027</t>
  </si>
  <si>
    <t>Доля 2028</t>
  </si>
  <si>
    <t>Доля 2029</t>
  </si>
  <si>
    <t>н·ч 2027</t>
  </si>
  <si>
    <t>н·ч 2028</t>
  </si>
  <si>
    <t>н·ч 2029</t>
  </si>
  <si>
    <t>Задачи дорожной карты</t>
  </si>
  <si>
    <t>Обработка деталей корпуса</t>
  </si>
  <si>
    <t>10.1. Корпусообработка, изготовление деталей</t>
  </si>
  <si>
    <t>Предварительная сборка конструкций</t>
  </si>
  <si>
    <t>10.2. Сборка и сварка секций и блоков</t>
  </si>
  <si>
    <t>Формирование корпуса на стапеле</t>
  </si>
  <si>
    <t>10.4.1. Формирование корпуса на стапеле</t>
  </si>
  <si>
    <t>Трубомонтажные работы</t>
  </si>
  <si>
    <t>10.4.3. Монтаж трубопроводов, 11. Работы на достроечной набережной (монтаж оборудования и систем, отделка), пуско-наладочные работы</t>
  </si>
  <si>
    <t>Механомонтажные работы</t>
  </si>
  <si>
    <t>10.4.2. Монтаж механизмов, 11. Работы на достроечной набережной (монтаж оборудования и систем, отделка), пуско-наладочные работы</t>
  </si>
  <si>
    <t>Достроечные работы</t>
  </si>
  <si>
    <t>11. Работы на достроечной набережной (монтаж оборудования и систем, отделка), пуско-наладочные работы</t>
  </si>
  <si>
    <t>Испытания судна</t>
  </si>
  <si>
    <t>12. Швартовные испытания, 13. Устранение ошибок по результатам швартовных испытаний, 14. Заводские ходовые испытания, 15. Устранение ошибок по результатам заводских ходовых испытаний</t>
  </si>
  <si>
    <t>Изготовление изделий МСЧ</t>
  </si>
  <si>
    <t>10.3. Изготовление изделий МСЧ</t>
  </si>
  <si>
    <t>Электромонтажные работы</t>
  </si>
  <si>
    <t>Трудоёмкость по Приказу Минпромторга № 958 на водоизмещение порожнем, чел·ч × коэффициент выполнения норм = нормо-часы. Доли по годам - по рабочим дням задач дорожной карты.</t>
  </si>
  <si>
    <t>Фонд оплаты труда основных производственных рабочих</t>
  </si>
  <si>
    <t>Год</t>
  </si>
  <si>
    <t>н·ч</t>
  </si>
  <si>
    <t>Стоимость н·ч 2026, руб.</t>
  </si>
  <si>
    <t>Индекс</t>
  </si>
  <si>
    <t>Стоимость н·ч, руб.</t>
  </si>
  <si>
    <t>Основная ЗП, руб.</t>
  </si>
  <si>
    <t>ДЗП, руб.</t>
  </si>
  <si>
    <t>Взносы, руб.</t>
  </si>
  <si>
    <t>Итого за год</t>
  </si>
  <si>
    <t>Административно-управленческий персонал и ИТР проекта</t>
  </si>
  <si>
    <t>Должность</t>
  </si>
  <si>
    <t>Чел.</t>
  </si>
  <si>
    <t>Оклад, руб./мес, 2026</t>
  </si>
  <si>
    <t>Категория</t>
  </si>
  <si>
    <t>Основная ЗП с премией, руб./мес</t>
  </si>
  <si>
    <t>ДЗП, руб./мес</t>
  </si>
  <si>
    <t>Взносы, руб./мес</t>
  </si>
  <si>
    <t>Итого, руб./мес</t>
  </si>
  <si>
    <t>Месяцев 2027</t>
  </si>
  <si>
    <t>Месяцев 2028</t>
  </si>
  <si>
    <t>Месяцев 2029</t>
  </si>
  <si>
    <t>Затраты 2027, руб.</t>
  </si>
  <si>
    <t>Затраты 2028, руб.</t>
  </si>
  <si>
    <t>Затраты 2029, руб.</t>
  </si>
  <si>
    <t>Заместитель главного инженера</t>
  </si>
  <si>
    <t>АУП</t>
  </si>
  <si>
    <t>ОХР</t>
  </si>
  <si>
    <t>Ведущий конструктор</t>
  </si>
  <si>
    <t>ИТР</t>
  </si>
  <si>
    <t>Ведущий технолог</t>
  </si>
  <si>
    <t>Ведущий специалист технического контроля</t>
  </si>
  <si>
    <t>Ведущий экономист</t>
  </si>
  <si>
    <t>Ведущий инженер-технолог</t>
  </si>
  <si>
    <t>Инженер-конструктор 1 категории</t>
  </si>
  <si>
    <t>Технолог 1 категории</t>
  </si>
  <si>
    <t>Начальник производства</t>
  </si>
  <si>
    <t>ОПР</t>
  </si>
  <si>
    <t>Начальник участка</t>
  </si>
  <si>
    <t>Старший мастер участка</t>
  </si>
  <si>
    <t>Мастер участка</t>
  </si>
  <si>
    <t>Специалист по охране труда</t>
  </si>
  <si>
    <t>Специалист по МТО</t>
  </si>
  <si>
    <t>Наладчик систем</t>
  </si>
  <si>
    <t>Кладовщик</t>
  </si>
  <si>
    <t>ВПР</t>
  </si>
  <si>
    <t>Строитель кораблей</t>
  </si>
  <si>
    <t>Специалист по связям с общественностью</t>
  </si>
  <si>
    <t>служащий</t>
  </si>
  <si>
    <t>КОМ</t>
  </si>
  <si>
    <t>Общепроизводственные (руководство производством)</t>
  </si>
  <si>
    <t>Общехозяйственные (инженерная и управленческая группа)</t>
  </si>
  <si>
    <t>Коммерческие (связи с общественностью)</t>
  </si>
  <si>
    <t>Месяцы - от формирования проектной группы (ОХР), от начала корпусообработки (ОПР), от подписания договора (коммерческие) до передачи судна заказчику, по дорожной карте.</t>
  </si>
  <si>
    <t>Обязательное обучение персонала</t>
  </si>
  <si>
    <t>Организация</t>
  </si>
  <si>
    <t>Тема</t>
  </si>
  <si>
    <t>Стоимость 2026, руб.</t>
  </si>
  <si>
    <t>Стоимость 2027, руб.</t>
  </si>
  <si>
    <t>Человек</t>
  </si>
  <si>
    <t>Итого, руб.</t>
  </si>
  <si>
    <t>АНО ДПО «Учебный центр «Перспектива»</t>
  </si>
  <si>
    <t>Эксплуатация электроустановок для испытаний и измерений</t>
  </si>
  <si>
    <t>АНО ДПО «Прикамский институт безопасности»</t>
  </si>
  <si>
    <t>Поверка и калибровка средств измерений теплотехнических величин</t>
  </si>
  <si>
    <t>АНО ДПО «ДВИПРАЗ»</t>
  </si>
  <si>
    <t>Поверка и калибровка средств геометрических измерений</t>
  </si>
  <si>
    <t>ЧОУ ДПО «Учебный центр «Конфакт»</t>
  </si>
  <si>
    <t>Проверка знаний машиниста плавучего крана</t>
  </si>
  <si>
    <t>ЧОУ ДПО «Морские системы»</t>
  </si>
  <si>
    <t>Подготовка по разделу A-VI/1 Кодекса ПДНВ</t>
  </si>
  <si>
    <t>ООО МУИЦ «Меркурий»</t>
  </si>
  <si>
    <t>Специалист по пожарной профилактике</t>
  </si>
  <si>
    <t>ЧОУ ДПО «Спутник»</t>
  </si>
  <si>
    <t>Техносферная безопасность, охрана труда</t>
  </si>
  <si>
    <t>Специалист по спасательным шлюпкам и плотам, раздел A-VI/2 Кодекса ПДНВ</t>
  </si>
  <si>
    <t>ИП Климчук В. А.</t>
  </si>
  <si>
    <t>Обучение по охране труда, общий договор</t>
  </si>
  <si>
    <t>договор</t>
  </si>
  <si>
    <t>ИП Лысенко И. М.</t>
  </si>
  <si>
    <t>Обучение по электробезопасности, общий договор</t>
  </si>
  <si>
    <t>АНО ДПО «ПРОФАТОМЭНЕРГО»</t>
  </si>
  <si>
    <t>Обучение по радиационной безопасности, общий договор</t>
  </si>
  <si>
    <t>Маркетинг и продвижение</t>
  </si>
  <si>
    <t>Исполнитель</t>
  </si>
  <si>
    <t>Вид</t>
  </si>
  <si>
    <t>Руб. в месяц</t>
  </si>
  <si>
    <t>Как выполняется</t>
  </si>
  <si>
    <t>Метрополитен Санкт-Петербурга</t>
  </si>
  <si>
    <t>Реклама на путевых щитах 4 × 2 м</t>
  </si>
  <si>
    <t>макет - отдел по связям с общественностью верфи</t>
  </si>
  <si>
    <t>АО «Адмиралтейские верфи»</t>
  </si>
  <si>
    <t>Буклеты и раздаточная продукция</t>
  </si>
  <si>
    <t>типография предприятия, 100 буклетов А4 в месяц по 30 руб., выставки и конференции</t>
  </si>
  <si>
    <t>Реклама в социальных сетях</t>
  </si>
  <si>
    <t>силами сотрудников в Telegram, MAX и ВКонтакте</t>
  </si>
  <si>
    <t>Итого в месяц</t>
  </si>
  <si>
    <t>Месяцев от договора до передачи судна</t>
  </si>
  <si>
    <t>Затраты, руб.</t>
  </si>
  <si>
    <t>НИОКР - проектирование судна проектным бюро</t>
  </si>
  <si>
    <t>Ставка инженера-конструктора с премией, ДЗП и взносами, руб./ч</t>
  </si>
  <si>
    <t>Стадия</t>
  </si>
  <si>
    <t>Задача дорожной карты</t>
  </si>
  <si>
    <t>Доля 2026</t>
  </si>
  <si>
    <t>Затраты 2026, руб.</t>
  </si>
  <si>
    <t>Эскизный проект</t>
  </si>
  <si>
    <t>3.2. Эскизирование</t>
  </si>
  <si>
    <t>Технический проект</t>
  </si>
  <si>
    <t>3.4. ОКР (опытно-конструкторская работа)</t>
  </si>
  <si>
    <t>Рабочая КД</t>
  </si>
  <si>
    <t>6. Составление рабочей конструкторской документации (схемы систем, чертежи)</t>
  </si>
  <si>
    <t>Капитальные затраты - цех фундаментов-замков в арендованном ангаре</t>
  </si>
  <si>
    <t>Оборудование (покупка)</t>
  </si>
  <si>
    <t>Цена, руб.</t>
  </si>
  <si>
    <t>Печь индукционная тигельная ИСТ-0,16 с преобразователем частоты и градирней</t>
  </si>
  <si>
    <t>Ковш разливочный чайниковый 0,25 т и стенд подогрева</t>
  </si>
  <si>
    <t>Смеситель ХТС лопастной 0,1 м³</t>
  </si>
  <si>
    <t>Стол вибрационный формовочный 1,0 × 1,0 м</t>
  </si>
  <si>
    <t>Опоки сварные 600 × 400 × 160/80 со штырями</t>
  </si>
  <si>
    <t>Решётка выбивная инерционная</t>
  </si>
  <si>
    <t>Пневмошлифмашины угловые DAEWOO (круг 180 мм) и прямые Daewoo DG-38LS</t>
  </si>
  <si>
    <t>Компрессор винтовой 11 кВт, 1,6 м³/мин, 8 бар, с ресивером</t>
  </si>
  <si>
    <t>Электропечь камерная сопротивления ПН-12-2</t>
  </si>
  <si>
    <t>Машина плазменной резки с ЧПУ NUMOREX NXB, поле 2000 × 6000 мм, источник 125 А</t>
  </si>
  <si>
    <t>Станок вертикально-сверлильный 2Н135</t>
  </si>
  <si>
    <t>Станок токарно-винторезный 16К20, РМЦ 1000</t>
  </si>
  <si>
    <t>Полуавтомат сварочный 400 А, стол сварочный, фильтровентиляционный агрегат</t>
  </si>
  <si>
    <t>Камера окрасочно-сушильная тупиковая 3 × 3 × 2,5 м, подогрев до 110 °С</t>
  </si>
  <si>
    <t>Верстаки слесарные и сборочные</t>
  </si>
  <si>
    <t>Стол контроля, плита поверочная, мерительный инструмент, твердомер, толщиномер, шаблоны</t>
  </si>
  <si>
    <t>Вентиляция литейного участка - зонт над печью, отсосы обрубки</t>
  </si>
  <si>
    <t>Стеллажи, поддоны, тележки гидравлические</t>
  </si>
  <si>
    <t>Итого оборудование</t>
  </si>
  <si>
    <t>Площадка</t>
  </si>
  <si>
    <t>м²</t>
  </si>
  <si>
    <t>Руб./м² в месяц</t>
  </si>
  <si>
    <t>Месяцев</t>
  </si>
  <si>
    <t>Аренда ангара под цех узла</t>
  </si>
  <si>
    <t>Аренда за срок, руб.</t>
  </si>
  <si>
    <t>Судно строится на действующих мощностях верфи: стапель, достроечная набережная, цеха. Аренда ангара входит в себестоимость фундаментов-замков.</t>
  </si>
  <si>
    <t>Серийное судно и точка безубыточности</t>
  </si>
  <si>
    <t>Показатель</t>
  </si>
  <si>
    <t>Материальные затраты, руб.</t>
  </si>
  <si>
    <t>как у головного</t>
  </si>
  <si>
    <t>Оплата труда с взносами головного, руб.</t>
  </si>
  <si>
    <t>Оплата труда с взносами серийного, руб.</t>
  </si>
  <si>
    <t>без коэффициента головного</t>
  </si>
  <si>
    <t>Прямые затраты серийного судна, руб.</t>
  </si>
  <si>
    <t>переменные</t>
  </si>
  <si>
    <t>Постоянные затраты в год, руб.</t>
  </si>
  <si>
    <t>АУП и ИТР, маркетинг</t>
  </si>
  <si>
    <t>Себестоимость серийного судна при темпе одно в год, руб.</t>
  </si>
  <si>
    <t>Цена серийного судна без НДС, руб.</t>
  </si>
  <si>
    <t>с рентабельностью головного</t>
  </si>
  <si>
    <t>Маржинальный доход с судна, руб.</t>
  </si>
  <si>
    <t>Точка безубыточности, судов в год</t>
  </si>
  <si>
    <t>производство прибыльно с одного судна в год</t>
  </si>
  <si>
    <t>Денежный поток программы: головное и серийные суда, руб.</t>
  </si>
  <si>
    <t>НИОКР</t>
  </si>
  <si>
    <t>Капзатраты</t>
  </si>
  <si>
    <t>Затраты на постройку</t>
  </si>
  <si>
    <t>Выручка без НДС</t>
  </si>
  <si>
    <t>Денежный поток</t>
  </si>
  <si>
    <t>Коэф. дисконт.</t>
  </si>
  <si>
    <t>Дисконтированный поток</t>
  </si>
  <si>
    <t>Накопленный поток</t>
  </si>
  <si>
    <t>Накопленный дисконт.</t>
  </si>
  <si>
    <t>Окуп.</t>
  </si>
  <si>
    <t>Окуп. диск.</t>
  </si>
  <si>
    <t>NPV</t>
  </si>
  <si>
    <t>Инвестиции до первой выручки, дисконтированные</t>
  </si>
  <si>
    <t>PI</t>
  </si>
  <si>
    <t>IRR</t>
  </si>
  <si>
    <t>Срок окупаемости, лет от 2026</t>
  </si>
  <si>
    <t>Дисконтированный срок окупаемости, лет от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</si>
</sst>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#,##0.0"/>
    <numFmt numFmtId="166" formatCode="0.000"/>
    <numFmt numFmtId="167" formatCode="0.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165" fontId="3" fillId="0" borderId="1" xfId="0" applyNumberFormat="1" applyFont="1" applyBorder="1"/>
    <xf numFmtId="1" fontId="3" fillId="0" borderId="1" xfId="0" applyNumberFormat="1" applyFont="1" applyBorder="1"/>
    <xf numFmtId="166" fontId="3" fillId="0" borderId="1" xfId="0" applyNumberFormat="1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/>
    <xf numFmtId="0" fontId="3" fillId="0" borderId="0" xfId="0" applyFont="1"/>
    <xf numFmtId="167" fontId="3" fillId="0" borderId="1" xfId="0" applyNumberFormat="1" applyFont="1" applyBorder="1"/>
    <xf numFmtId="2" fontId="3" fillId="0" borderId="1" xfId="0" applyNumberFormat="1" applyFont="1" applyBorder="1"/>
    <xf numFmtId="2" fontId="2" fillId="0" borderId="1" xfId="0" applyNumberFormat="1" applyFont="1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="90" workbookViewId="0"/>
  </sheetViews>
  <sheetFormatPr defaultRowHeight="14.4" x14ac:dyDescent="0.3"/>
  <cols>
    <col min="1" max="1" width="62" customWidth="1"/>
    <col min="2" max="5" width="18" customWidth="1"/>
    <col min="6" max="6" width="40" customWidth="1"/>
  </cols>
  <sheetData>
    <row r="1" spans="1:6" ht="15.6" x14ac:dyDescent="0.3">
      <c r="A1" s="1" t="s">
        <v>0</v>
      </c>
    </row>
    <row r="3" spans="1:6" ht="31.9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3">
      <c r="A4" s="3" t="s">
        <v>7</v>
      </c>
      <c r="B4" s="4">
        <f t="shared" ref="B4:B16" si="0">SUM(C4:E4)</f>
        <v>586962237.66587532</v>
      </c>
      <c r="C4" s="4">
        <f>C5+C6+C7</f>
        <v>586962237.66587532</v>
      </c>
      <c r="D4" s="4">
        <f>D5+D6+D7</f>
        <v>0</v>
      </c>
      <c r="E4" s="4">
        <f>E5+E6+E7</f>
        <v>0</v>
      </c>
      <c r="F4" s="3"/>
    </row>
    <row r="5" spans="1:6" x14ac:dyDescent="0.3">
      <c r="A5" s="5" t="s">
        <v>8</v>
      </c>
      <c r="B5" s="6">
        <f t="shared" si="0"/>
        <v>227808679.37578171</v>
      </c>
      <c r="C5" s="6">
        <f>Материалы!$H$20</f>
        <v>227808679.37578171</v>
      </c>
      <c r="D5" s="6">
        <v>0</v>
      </c>
      <c r="E5" s="6">
        <v>0</v>
      </c>
      <c r="F5" s="7" t="s">
        <v>9</v>
      </c>
    </row>
    <row r="6" spans="1:6" x14ac:dyDescent="0.3">
      <c r="A6" s="5" t="s">
        <v>10</v>
      </c>
      <c r="B6" s="6">
        <f t="shared" si="0"/>
        <v>352767223.36000001</v>
      </c>
      <c r="C6" s="6">
        <f>ПКИ!$E$9</f>
        <v>352767223.36000001</v>
      </c>
      <c r="D6" s="6">
        <v>0</v>
      </c>
      <c r="E6" s="6">
        <v>0</v>
      </c>
      <c r="F6" s="5" t="s">
        <v>11</v>
      </c>
    </row>
    <row r="7" spans="1:6" x14ac:dyDescent="0.3">
      <c r="A7" s="5" t="s">
        <v>12</v>
      </c>
      <c r="B7" s="6">
        <f t="shared" si="0"/>
        <v>6386334.9300935976</v>
      </c>
      <c r="C7" s="6">
        <f>(C5+C6)*Исходные!$B$5</f>
        <v>6386334.9300935976</v>
      </c>
      <c r="D7" s="6">
        <v>0</v>
      </c>
      <c r="E7" s="6">
        <v>0</v>
      </c>
      <c r="F7" s="7"/>
    </row>
    <row r="8" spans="1:6" x14ac:dyDescent="0.3">
      <c r="A8" s="3" t="s">
        <v>13</v>
      </c>
      <c r="B8" s="4">
        <f t="shared" si="0"/>
        <v>816683533.99112082</v>
      </c>
      <c r="C8" s="4">
        <f>C9+C10</f>
        <v>67424018.121521905</v>
      </c>
      <c r="D8" s="4">
        <f>D9+D10</f>
        <v>458218857.04803133</v>
      </c>
      <c r="E8" s="4">
        <f>E9+E10</f>
        <v>291040658.8215676</v>
      </c>
      <c r="F8" s="3"/>
    </row>
    <row r="9" spans="1:6" x14ac:dyDescent="0.3">
      <c r="A9" s="7" t="s">
        <v>14</v>
      </c>
      <c r="B9" s="6">
        <f t="shared" si="0"/>
        <v>720431546.05645299</v>
      </c>
      <c r="C9" s="6">
        <f>ФОТ!G22</f>
        <v>59477615.985771105</v>
      </c>
      <c r="D9" s="6">
        <f>ФОТ!G23</f>
        <v>404214491.75308478</v>
      </c>
      <c r="E9" s="6">
        <f>ФОТ!G24</f>
        <v>256739438.31759712</v>
      </c>
      <c r="F9" s="7"/>
    </row>
    <row r="10" spans="1:6" x14ac:dyDescent="0.3">
      <c r="A10" s="5" t="s">
        <v>15</v>
      </c>
      <c r="B10" s="6">
        <f t="shared" si="0"/>
        <v>96251987.934667796</v>
      </c>
      <c r="C10" s="6">
        <f>ФОТ!H22</f>
        <v>7946402.1357507957</v>
      </c>
      <c r="D10" s="6">
        <f>ФОТ!H23</f>
        <v>54004365.294946544</v>
      </c>
      <c r="E10" s="6">
        <f>ФОТ!H24</f>
        <v>34301220.503970467</v>
      </c>
      <c r="F10" s="7"/>
    </row>
    <row r="11" spans="1:6" x14ac:dyDescent="0.3">
      <c r="A11" s="7" t="s">
        <v>16</v>
      </c>
      <c r="B11" s="6">
        <f t="shared" si="0"/>
        <v>267872199.14908767</v>
      </c>
      <c r="C11" s="6">
        <f>ФОТ!I22</f>
        <v>22115077.943859186</v>
      </c>
      <c r="D11" s="6">
        <f>ФОТ!I23</f>
        <v>150295785.1117543</v>
      </c>
      <c r="E11" s="6">
        <f>ФОТ!I24</f>
        <v>95461336.09347418</v>
      </c>
      <c r="F11" s="7"/>
    </row>
    <row r="12" spans="1:6" x14ac:dyDescent="0.3">
      <c r="A12" s="7" t="s">
        <v>17</v>
      </c>
      <c r="B12" s="6">
        <f t="shared" si="0"/>
        <v>325685529.7220031</v>
      </c>
      <c r="C12" s="6">
        <f>'АУП и ИТР'!M24+Обучение!$G$15</f>
        <v>30101499.216648348</v>
      </c>
      <c r="D12" s="6">
        <f>'АУП и ИТР'!N24</f>
        <v>140856324.85489479</v>
      </c>
      <c r="E12" s="6">
        <f>'АУП и ИТР'!O24</f>
        <v>154727705.65045998</v>
      </c>
      <c r="F12" s="5" t="s">
        <v>18</v>
      </c>
    </row>
    <row r="13" spans="1:6" x14ac:dyDescent="0.3">
      <c r="A13" s="7" t="s">
        <v>19</v>
      </c>
      <c r="B13" s="6">
        <f t="shared" si="0"/>
        <v>208584004.77190149</v>
      </c>
      <c r="C13" s="6">
        <f>'АУП и ИТР'!M25</f>
        <v>30027121.038054556</v>
      </c>
      <c r="D13" s="6">
        <f>'АУП и ИТР'!N25</f>
        <v>85088718.687854797</v>
      </c>
      <c r="E13" s="6">
        <f>'АУП и ИТР'!O25</f>
        <v>93468165.045992136</v>
      </c>
      <c r="F13" s="5" t="s">
        <v>20</v>
      </c>
    </row>
    <row r="14" spans="1:6" x14ac:dyDescent="0.3">
      <c r="A14" s="3" t="s">
        <v>21</v>
      </c>
      <c r="B14" s="4">
        <f t="shared" si="0"/>
        <v>2205787505.2999887</v>
      </c>
      <c r="C14" s="4">
        <f>C4+C8+C11+C12+C13</f>
        <v>736629953.98595941</v>
      </c>
      <c r="D14" s="4">
        <f>D4+D8+D11+D12+D13</f>
        <v>834459685.70253515</v>
      </c>
      <c r="E14" s="4">
        <f>E4+E8+E11+E12+E13</f>
        <v>634697865.61149395</v>
      </c>
      <c r="F14" s="3"/>
    </row>
    <row r="15" spans="1:6" x14ac:dyDescent="0.3">
      <c r="A15" s="7" t="s">
        <v>22</v>
      </c>
      <c r="B15" s="6">
        <f t="shared" si="0"/>
        <v>15040906.520697784</v>
      </c>
      <c r="C15" s="6">
        <f>'АУП и ИТР'!M26+Маркетинг!C10</f>
        <v>4223798.4610915743</v>
      </c>
      <c r="D15" s="6">
        <f>'АУП и ИТР'!N26+Маркетинг!C11</f>
        <v>5206516.1016561417</v>
      </c>
      <c r="E15" s="6">
        <f>'АУП и ИТР'!O26+Маркетинг!C12</f>
        <v>5610591.9579500668</v>
      </c>
      <c r="F15" s="5" t="s">
        <v>23</v>
      </c>
    </row>
    <row r="16" spans="1:6" x14ac:dyDescent="0.3">
      <c r="A16" s="3" t="s">
        <v>24</v>
      </c>
      <c r="B16" s="4">
        <f t="shared" si="0"/>
        <v>2220828411.8206863</v>
      </c>
      <c r="C16" s="4">
        <f>C14+C15</f>
        <v>740853752.44705093</v>
      </c>
      <c r="D16" s="4">
        <f>D14+D15</f>
        <v>839666201.80419135</v>
      </c>
      <c r="E16" s="4">
        <f>E14+E15</f>
        <v>640308457.56944406</v>
      </c>
      <c r="F16" s="3"/>
    </row>
    <row r="17" spans="1:6" x14ac:dyDescent="0.3">
      <c r="A17" s="7" t="s">
        <v>25</v>
      </c>
      <c r="B17" s="6">
        <f>B16*Исходные!$B$13</f>
        <v>333124261.77310294</v>
      </c>
      <c r="C17" s="7"/>
      <c r="D17" s="7"/>
      <c r="E17" s="7"/>
      <c r="F17" s="5" t="s">
        <v>26</v>
      </c>
    </row>
    <row r="18" spans="1:6" x14ac:dyDescent="0.3">
      <c r="A18" s="3" t="s">
        <v>27</v>
      </c>
      <c r="B18" s="4">
        <f>B16+B17</f>
        <v>2553952673.5937891</v>
      </c>
      <c r="C18" s="3"/>
      <c r="D18" s="3"/>
      <c r="E18" s="3"/>
      <c r="F18" s="3"/>
    </row>
    <row r="19" spans="1:6" x14ac:dyDescent="0.3">
      <c r="A19" s="7" t="s">
        <v>28</v>
      </c>
      <c r="B19" s="6">
        <f>B18*Исходные!$B$4</f>
        <v>561869588.19063365</v>
      </c>
      <c r="C19" s="7"/>
      <c r="D19" s="7"/>
      <c r="E19" s="7"/>
      <c r="F19" s="7"/>
    </row>
    <row r="20" spans="1:6" x14ac:dyDescent="0.3">
      <c r="A20" s="3" t="s">
        <v>29</v>
      </c>
      <c r="B20" s="4">
        <f>B18+B19</f>
        <v>3115822261.7844229</v>
      </c>
      <c r="C20" s="3"/>
      <c r="D20" s="3"/>
      <c r="E20" s="3"/>
      <c r="F20" s="3"/>
    </row>
    <row r="21" spans="1:6" x14ac:dyDescent="0.3">
      <c r="A21" s="7" t="s">
        <v>30</v>
      </c>
      <c r="B21" s="6">
        <f>SUM(C21:E21)</f>
        <v>611468.99777407548</v>
      </c>
      <c r="C21" s="6">
        <f>Трудоёмкость!G13</f>
        <v>54764.968910061638</v>
      </c>
      <c r="D21" s="6">
        <f>Трудоёмкость!H13</f>
        <v>343628.94725332578</v>
      </c>
      <c r="E21" s="6">
        <f>Трудоёмкость!I13</f>
        <v>213075.08161068804</v>
      </c>
      <c r="F21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="90" workbookViewId="0"/>
  </sheetViews>
  <sheetFormatPr defaultRowHeight="14.4" x14ac:dyDescent="0.3"/>
  <cols>
    <col min="1" max="1" width="58" customWidth="1"/>
    <col min="2" max="2" width="14" customWidth="1"/>
    <col min="3" max="3" width="12" customWidth="1"/>
    <col min="4" max="4" width="70" customWidth="1"/>
  </cols>
  <sheetData>
    <row r="1" spans="1:4" ht="15.6" x14ac:dyDescent="0.3">
      <c r="A1" s="1" t="s">
        <v>31</v>
      </c>
    </row>
    <row r="3" spans="1:4" ht="31.95" customHeight="1" x14ac:dyDescent="0.3">
      <c r="A3" s="2" t="s">
        <v>32</v>
      </c>
      <c r="B3" s="2" t="s">
        <v>33</v>
      </c>
      <c r="C3" s="2" t="s">
        <v>34</v>
      </c>
      <c r="D3" s="2" t="s">
        <v>35</v>
      </c>
    </row>
    <row r="4" spans="1:4" x14ac:dyDescent="0.3">
      <c r="A4" s="7" t="s">
        <v>28</v>
      </c>
      <c r="B4" s="8">
        <v>0.22</v>
      </c>
      <c r="C4" s="7" t="s">
        <v>36</v>
      </c>
      <c r="D4" s="7" t="s">
        <v>37</v>
      </c>
    </row>
    <row r="5" spans="1:4" x14ac:dyDescent="0.3">
      <c r="A5" s="5" t="s">
        <v>38</v>
      </c>
      <c r="B5" s="8">
        <v>1.0999999999999999E-2</v>
      </c>
      <c r="C5" s="7" t="s">
        <v>36</v>
      </c>
      <c r="D5" s="7" t="s">
        <v>39</v>
      </c>
    </row>
    <row r="6" spans="1:4" x14ac:dyDescent="0.3">
      <c r="A6" s="5" t="s">
        <v>40</v>
      </c>
      <c r="B6" s="9">
        <v>0.85</v>
      </c>
      <c r="C6" s="7"/>
      <c r="D6" s="7" t="s">
        <v>41</v>
      </c>
    </row>
    <row r="7" spans="1:4" x14ac:dyDescent="0.3">
      <c r="A7" s="5" t="s">
        <v>42</v>
      </c>
      <c r="B7" s="10">
        <v>806.6</v>
      </c>
      <c r="C7" s="7" t="s">
        <v>43</v>
      </c>
      <c r="D7" s="7" t="s">
        <v>44</v>
      </c>
    </row>
    <row r="8" spans="1:4" x14ac:dyDescent="0.3">
      <c r="A8" s="7" t="s">
        <v>45</v>
      </c>
      <c r="B8" s="10">
        <v>136.30000000000001</v>
      </c>
      <c r="C8" s="7" t="s">
        <v>43</v>
      </c>
      <c r="D8" s="7" t="s">
        <v>44</v>
      </c>
    </row>
    <row r="9" spans="1:4" x14ac:dyDescent="0.3">
      <c r="A9" s="7" t="s">
        <v>46</v>
      </c>
      <c r="B9" s="9">
        <v>1.05</v>
      </c>
      <c r="C9" s="7"/>
      <c r="D9" s="7" t="s">
        <v>47</v>
      </c>
    </row>
    <row r="10" spans="1:4" x14ac:dyDescent="0.3">
      <c r="A10" s="5" t="s">
        <v>48</v>
      </c>
      <c r="B10" s="9">
        <v>1.3</v>
      </c>
      <c r="C10" s="7"/>
      <c r="D10" s="5" t="s">
        <v>49</v>
      </c>
    </row>
    <row r="11" spans="1:4" x14ac:dyDescent="0.3">
      <c r="A11" s="7" t="s">
        <v>50</v>
      </c>
      <c r="B11" s="8">
        <v>0.1</v>
      </c>
      <c r="C11" s="7" t="s">
        <v>36</v>
      </c>
      <c r="D11" s="7" t="s">
        <v>51</v>
      </c>
    </row>
    <row r="12" spans="1:4" x14ac:dyDescent="0.3">
      <c r="A12" s="7" t="s">
        <v>52</v>
      </c>
      <c r="B12" s="10">
        <v>164.66666666666671</v>
      </c>
      <c r="C12" s="7" t="s">
        <v>53</v>
      </c>
      <c r="D12" s="7" t="s">
        <v>54</v>
      </c>
    </row>
    <row r="13" spans="1:4" x14ac:dyDescent="0.3">
      <c r="A13" s="5" t="s">
        <v>55</v>
      </c>
      <c r="B13" s="8">
        <v>0.15</v>
      </c>
      <c r="C13" s="7" t="s">
        <v>36</v>
      </c>
      <c r="D13" s="7" t="s">
        <v>56</v>
      </c>
    </row>
    <row r="14" spans="1:4" x14ac:dyDescent="0.3">
      <c r="A14" s="7" t="s">
        <v>57</v>
      </c>
      <c r="B14" s="8">
        <v>0.15</v>
      </c>
      <c r="C14" s="7" t="s">
        <v>36</v>
      </c>
      <c r="D14" s="5" t="s">
        <v>58</v>
      </c>
    </row>
    <row r="15" spans="1:4" x14ac:dyDescent="0.3">
      <c r="A15" s="5" t="s">
        <v>59</v>
      </c>
      <c r="B15" s="11">
        <v>5</v>
      </c>
      <c r="C15" s="7" t="s">
        <v>60</v>
      </c>
      <c r="D15" s="7" t="s">
        <v>61</v>
      </c>
    </row>
    <row r="16" spans="1:4" x14ac:dyDescent="0.3">
      <c r="A16" s="7" t="s">
        <v>62</v>
      </c>
      <c r="B16" s="8">
        <v>0.06</v>
      </c>
      <c r="C16" s="7" t="s">
        <v>63</v>
      </c>
      <c r="D16" s="7" t="s">
        <v>64</v>
      </c>
    </row>
    <row r="17" spans="1:4" x14ac:dyDescent="0.3">
      <c r="A17" s="7" t="s">
        <v>65</v>
      </c>
      <c r="B17" s="12">
        <v>1</v>
      </c>
      <c r="C17" s="7"/>
      <c r="D17" s="7" t="s">
        <v>66</v>
      </c>
    </row>
    <row r="18" spans="1:4" x14ac:dyDescent="0.3">
      <c r="A18" s="7" t="s">
        <v>67</v>
      </c>
      <c r="B18" s="12">
        <v>1.081</v>
      </c>
      <c r="C18" s="7"/>
      <c r="D18" s="7" t="s">
        <v>68</v>
      </c>
    </row>
    <row r="19" spans="1:4" x14ac:dyDescent="0.3">
      <c r="A19" s="7" t="s">
        <v>69</v>
      </c>
      <c r="B19" s="12">
        <v>1.155</v>
      </c>
      <c r="C19" s="7"/>
      <c r="D19" s="7" t="s">
        <v>68</v>
      </c>
    </row>
    <row r="20" spans="1:4" x14ac:dyDescent="0.3">
      <c r="A20" s="7" t="s">
        <v>70</v>
      </c>
      <c r="B20" s="12">
        <v>1.2350000000000001</v>
      </c>
      <c r="C20" s="7"/>
      <c r="D20" s="7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="90" workbookViewId="0"/>
  </sheetViews>
  <sheetFormatPr defaultRowHeight="14.4" x14ac:dyDescent="0.3"/>
  <cols>
    <col min="1" max="1" width="70" customWidth="1"/>
    <col min="2" max="2" width="16" customWidth="1"/>
  </cols>
  <sheetData>
    <row r="1" spans="1:2" ht="15.6" x14ac:dyDescent="0.3">
      <c r="A1" s="1" t="s">
        <v>71</v>
      </c>
    </row>
    <row r="3" spans="1:2" ht="31.95" customHeight="1" x14ac:dyDescent="0.3">
      <c r="A3" s="2" t="s">
        <v>72</v>
      </c>
      <c r="B3" s="2" t="s">
        <v>73</v>
      </c>
    </row>
    <row r="4" spans="1:2" x14ac:dyDescent="0.3">
      <c r="A4" s="5" t="s">
        <v>74</v>
      </c>
      <c r="B4" s="11">
        <v>28</v>
      </c>
    </row>
    <row r="5" spans="1:2" x14ac:dyDescent="0.3">
      <c r="A5" s="7" t="s">
        <v>75</v>
      </c>
      <c r="B5" s="11">
        <v>3</v>
      </c>
    </row>
    <row r="6" spans="1:2" x14ac:dyDescent="0.3">
      <c r="A6" s="5" t="s">
        <v>76</v>
      </c>
      <c r="B6" s="11">
        <v>2</v>
      </c>
    </row>
    <row r="7" spans="1:2" x14ac:dyDescent="0.3">
      <c r="A7" s="3" t="s">
        <v>77</v>
      </c>
      <c r="B7" s="13">
        <f>SUM(B4:B6)</f>
        <v>33</v>
      </c>
    </row>
    <row r="8" spans="1:2" x14ac:dyDescent="0.3">
      <c r="A8" s="7" t="s">
        <v>78</v>
      </c>
      <c r="B8" s="11">
        <v>247</v>
      </c>
    </row>
    <row r="9" spans="1:2" x14ac:dyDescent="0.3">
      <c r="A9" s="14" t="s">
        <v>79</v>
      </c>
      <c r="B9" s="15">
        <f>B7/B8</f>
        <v>0.13360323886639677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90" workbookViewId="0"/>
  </sheetViews>
  <sheetFormatPr defaultRowHeight="14.4" x14ac:dyDescent="0.3"/>
  <cols>
    <col min="1" max="1" width="70" customWidth="1"/>
    <col min="2" max="2" width="16" customWidth="1"/>
  </cols>
  <sheetData>
    <row r="1" spans="1:2" ht="15.6" x14ac:dyDescent="0.3">
      <c r="A1" s="1" t="s">
        <v>16</v>
      </c>
    </row>
    <row r="3" spans="1:2" ht="31.95" customHeight="1" x14ac:dyDescent="0.3">
      <c r="A3" s="2" t="s">
        <v>80</v>
      </c>
      <c r="B3" s="2" t="s">
        <v>81</v>
      </c>
    </row>
    <row r="4" spans="1:2" x14ac:dyDescent="0.3">
      <c r="A4" s="5" t="s">
        <v>82</v>
      </c>
      <c r="B4" s="8">
        <v>0.22</v>
      </c>
    </row>
    <row r="5" spans="1:2" x14ac:dyDescent="0.3">
      <c r="A5" s="5" t="s">
        <v>83</v>
      </c>
      <c r="B5" s="8">
        <v>5.0999999999999997E-2</v>
      </c>
    </row>
    <row r="6" spans="1:2" x14ac:dyDescent="0.3">
      <c r="A6" s="5" t="s">
        <v>84</v>
      </c>
      <c r="B6" s="8">
        <v>2.9000000000000001E-2</v>
      </c>
    </row>
    <row r="7" spans="1:2" x14ac:dyDescent="0.3">
      <c r="A7" s="5" t="s">
        <v>85</v>
      </c>
      <c r="B7" s="8">
        <v>2.8000000000000001E-2</v>
      </c>
    </row>
    <row r="8" spans="1:2" x14ac:dyDescent="0.3">
      <c r="A8" s="3" t="s">
        <v>77</v>
      </c>
      <c r="B8" s="15">
        <f>SUM(B4:B7)</f>
        <v>0.32800000000000007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="90" workbookViewId="0"/>
  </sheetViews>
  <sheetFormatPr defaultRowHeight="14.4" x14ac:dyDescent="0.3"/>
  <cols>
    <col min="1" max="1" width="52" customWidth="1"/>
    <col min="2" max="2" width="8" customWidth="1"/>
    <col min="3" max="3" width="12" customWidth="1"/>
    <col min="4" max="4" width="10" customWidth="1"/>
    <col min="5" max="5" width="14" customWidth="1"/>
    <col min="6" max="6" width="9" customWidth="1"/>
    <col min="7" max="7" width="14" customWidth="1"/>
    <col min="8" max="8" width="16" customWidth="1"/>
    <col min="9" max="9" width="30" customWidth="1"/>
    <col min="10" max="10" width="18" customWidth="1"/>
  </cols>
  <sheetData>
    <row r="1" spans="1:10" ht="15.6" x14ac:dyDescent="0.3">
      <c r="A1" s="1" t="s">
        <v>86</v>
      </c>
    </row>
    <row r="3" spans="1:10" ht="31.95" customHeight="1" x14ac:dyDescent="0.3">
      <c r="A3" s="2" t="s">
        <v>72</v>
      </c>
      <c r="B3" s="2" t="s">
        <v>34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</row>
    <row r="4" spans="1:10" x14ac:dyDescent="0.3">
      <c r="A4" s="5" t="s">
        <v>95</v>
      </c>
      <c r="B4" s="7" t="s">
        <v>43</v>
      </c>
      <c r="C4" s="10">
        <f>Исходные!$B$7/Исходные!$B$6*D4</f>
        <v>521.04923167270238</v>
      </c>
      <c r="D4" s="8">
        <v>0.54908485856905154</v>
      </c>
      <c r="E4" s="6">
        <v>70000</v>
      </c>
      <c r="F4" s="12">
        <v>1.052</v>
      </c>
      <c r="G4" s="9">
        <f>E4/(1+Исходные!$B$4)*F4</f>
        <v>60360.655737704925</v>
      </c>
      <c r="H4" s="6">
        <f t="shared" ref="H4:H19" si="0">C4*G4</f>
        <v>31450873.295391645</v>
      </c>
      <c r="I4" s="7" t="s">
        <v>96</v>
      </c>
      <c r="J4" s="7" t="s">
        <v>97</v>
      </c>
    </row>
    <row r="5" spans="1:10" x14ac:dyDescent="0.3">
      <c r="A5" s="5" t="s">
        <v>98</v>
      </c>
      <c r="B5" s="7" t="s">
        <v>43</v>
      </c>
      <c r="C5" s="10">
        <f>Исходные!$B$7/Исходные!$B$6*D5</f>
        <v>43.420769306058538</v>
      </c>
      <c r="D5" s="8">
        <v>4.5757071547420973E-2</v>
      </c>
      <c r="E5" s="6">
        <v>45011</v>
      </c>
      <c r="F5" s="12">
        <v>1.052</v>
      </c>
      <c r="G5" s="9">
        <f>E5/(1+Исходные!$B$4)*F5</f>
        <v>38812.763934426235</v>
      </c>
      <c r="H5" s="6">
        <f t="shared" si="0"/>
        <v>1685280.0689272305</v>
      </c>
      <c r="I5" s="7" t="s">
        <v>99</v>
      </c>
      <c r="J5" s="7" t="s">
        <v>100</v>
      </c>
    </row>
    <row r="6" spans="1:10" x14ac:dyDescent="0.3">
      <c r="A6" s="5" t="s">
        <v>101</v>
      </c>
      <c r="B6" s="7" t="s">
        <v>43</v>
      </c>
      <c r="C6" s="10">
        <f>Исходные!$B$7/Исходные!$B$6*D6</f>
        <v>199.7355388078692</v>
      </c>
      <c r="D6" s="8">
        <v>0.21048252911813639</v>
      </c>
      <c r="E6" s="6">
        <v>70990</v>
      </c>
      <c r="F6" s="12">
        <v>1.052</v>
      </c>
      <c r="G6" s="9">
        <f>E6/(1+Исходные!$B$4)*F6</f>
        <v>61214.327868852466</v>
      </c>
      <c r="H6" s="6">
        <f t="shared" si="0"/>
        <v>12226676.759646811</v>
      </c>
      <c r="I6" s="7" t="s">
        <v>96</v>
      </c>
      <c r="J6" s="7" t="s">
        <v>97</v>
      </c>
    </row>
    <row r="7" spans="1:10" x14ac:dyDescent="0.3">
      <c r="A7" s="5" t="s">
        <v>102</v>
      </c>
      <c r="B7" s="7" t="s">
        <v>43</v>
      </c>
      <c r="C7" s="10">
        <f>Исходные!$B$7/Исходные!$B$6*D7</f>
        <v>184.73563668395812</v>
      </c>
      <c r="D7" s="8">
        <v>0.19467554076539101</v>
      </c>
      <c r="E7" s="6">
        <v>112490</v>
      </c>
      <c r="F7" s="12">
        <v>1.052</v>
      </c>
      <c r="G7" s="9">
        <f>E7/(1+Исходные!$B$4)*F7</f>
        <v>96999.573770491799</v>
      </c>
      <c r="H7" s="6">
        <f t="shared" si="0"/>
        <v>17919278.018564366</v>
      </c>
      <c r="I7" s="7" t="s">
        <v>96</v>
      </c>
      <c r="J7" s="7" t="s">
        <v>97</v>
      </c>
    </row>
    <row r="8" spans="1:10" ht="28.8" x14ac:dyDescent="0.3">
      <c r="A8" s="7" t="s">
        <v>103</v>
      </c>
      <c r="B8" s="7" t="s">
        <v>43</v>
      </c>
      <c r="C8" s="10">
        <f>Исходные!$B$8/Исходные!$B$6*D8</f>
        <v>129.47753014249179</v>
      </c>
      <c r="D8" s="8">
        <v>0.80745341614906829</v>
      </c>
      <c r="E8" s="6">
        <v>700000</v>
      </c>
      <c r="F8" s="12">
        <v>1.0429999999999999</v>
      </c>
      <c r="G8" s="9">
        <f>E8/(1+Исходные!$B$4)*F8</f>
        <v>598442.62295081967</v>
      </c>
      <c r="H8" s="6">
        <f t="shared" si="0"/>
        <v>77484872.751666605</v>
      </c>
      <c r="I8" s="5" t="s">
        <v>104</v>
      </c>
      <c r="J8" s="7" t="s">
        <v>105</v>
      </c>
    </row>
    <row r="9" spans="1:10" x14ac:dyDescent="0.3">
      <c r="A9" s="5" t="s">
        <v>106</v>
      </c>
      <c r="B9" s="7" t="s">
        <v>43</v>
      </c>
      <c r="C9" s="10">
        <f>Исходные!$B$8/Исходные!$B$6*D9</f>
        <v>22.907563025210077</v>
      </c>
      <c r="D9" s="8">
        <v>0.14285714285714279</v>
      </c>
      <c r="E9" s="6">
        <v>296060</v>
      </c>
      <c r="F9" s="12">
        <v>1.052</v>
      </c>
      <c r="G9" s="9">
        <f>E9/(1+Исходные!$B$4)*F9</f>
        <v>255291.08196721313</v>
      </c>
      <c r="H9" s="6">
        <f t="shared" si="0"/>
        <v>5848096.5499380063</v>
      </c>
      <c r="I9" s="7" t="s">
        <v>107</v>
      </c>
      <c r="J9" s="7" t="s">
        <v>108</v>
      </c>
    </row>
    <row r="10" spans="1:10" x14ac:dyDescent="0.3">
      <c r="A10" s="7" t="s">
        <v>109</v>
      </c>
      <c r="B10" s="7" t="s">
        <v>43</v>
      </c>
      <c r="C10" s="10">
        <f>Исходные!$B$8/Исходные!$B$6*D10</f>
        <v>4.7807088052612352</v>
      </c>
      <c r="D10" s="8">
        <v>2.9813664596273291E-2</v>
      </c>
      <c r="E10" s="6">
        <v>1600000</v>
      </c>
      <c r="F10" s="12">
        <v>1.052</v>
      </c>
      <c r="G10" s="9">
        <f>E10/(1+Исходные!$B$4)*F10</f>
        <v>1379672.1311475409</v>
      </c>
      <c r="H10" s="6">
        <f t="shared" si="0"/>
        <v>6595810.7057505827</v>
      </c>
      <c r="I10" s="7" t="s">
        <v>110</v>
      </c>
      <c r="J10" s="7" t="s">
        <v>111</v>
      </c>
    </row>
    <row r="11" spans="1:10" x14ac:dyDescent="0.3">
      <c r="A11" s="7" t="s">
        <v>112</v>
      </c>
      <c r="B11" s="7" t="s">
        <v>43</v>
      </c>
      <c r="C11" s="10">
        <f>Исходные!$B$8/Исходные!$B$6*D11</f>
        <v>3.1871392035074906</v>
      </c>
      <c r="D11" s="8">
        <v>1.9875776397515529E-2</v>
      </c>
      <c r="E11" s="6">
        <v>408500</v>
      </c>
      <c r="F11" s="12">
        <v>1.052</v>
      </c>
      <c r="G11" s="9">
        <f>E11/(1+Исходные!$B$4)*F11</f>
        <v>352247.5409836066</v>
      </c>
      <c r="H11" s="6">
        <f t="shared" si="0"/>
        <v>1122661.947207964</v>
      </c>
      <c r="I11" s="7" t="s">
        <v>113</v>
      </c>
      <c r="J11" s="7" t="s">
        <v>114</v>
      </c>
    </row>
    <row r="12" spans="1:10" x14ac:dyDescent="0.3">
      <c r="A12" s="5" t="s">
        <v>115</v>
      </c>
      <c r="B12" s="7" t="s">
        <v>43</v>
      </c>
      <c r="C12" s="10">
        <v>75.400000000000006</v>
      </c>
      <c r="D12" s="7"/>
      <c r="E12" s="6">
        <v>158870</v>
      </c>
      <c r="F12" s="12">
        <v>1.04</v>
      </c>
      <c r="G12" s="9">
        <f>E12/(1+Исходные!$B$4)*F12</f>
        <v>135430.16393442624</v>
      </c>
      <c r="H12" s="6">
        <f t="shared" si="0"/>
        <v>10211434.36065574</v>
      </c>
      <c r="I12" s="7" t="s">
        <v>116</v>
      </c>
      <c r="J12" s="7" t="s">
        <v>117</v>
      </c>
    </row>
    <row r="13" spans="1:10" x14ac:dyDescent="0.3">
      <c r="A13" s="5" t="s">
        <v>118</v>
      </c>
      <c r="B13" s="7" t="s">
        <v>43</v>
      </c>
      <c r="C13" s="10">
        <v>38.1</v>
      </c>
      <c r="D13" s="7"/>
      <c r="E13" s="6">
        <v>811000</v>
      </c>
      <c r="F13" s="12">
        <v>1.04</v>
      </c>
      <c r="G13" s="9">
        <f>E13/(1+Исходные!$B$4)*F13</f>
        <v>691344.26229508198</v>
      </c>
      <c r="H13" s="6">
        <f t="shared" si="0"/>
        <v>26340216.393442623</v>
      </c>
      <c r="I13" s="7" t="s">
        <v>119</v>
      </c>
      <c r="J13" s="7" t="s">
        <v>120</v>
      </c>
    </row>
    <row r="14" spans="1:10" x14ac:dyDescent="0.3">
      <c r="A14" s="5" t="s">
        <v>121</v>
      </c>
      <c r="B14" s="7" t="s">
        <v>122</v>
      </c>
      <c r="C14" s="10">
        <v>8.9</v>
      </c>
      <c r="D14" s="7"/>
      <c r="E14" s="6">
        <v>205000</v>
      </c>
      <c r="F14" s="12">
        <v>1.04</v>
      </c>
      <c r="G14" s="9">
        <f>E14/(1+Исходные!$B$4)*F14</f>
        <v>174754.09836065574</v>
      </c>
      <c r="H14" s="6">
        <f t="shared" si="0"/>
        <v>1555311.4754098363</v>
      </c>
      <c r="I14" s="7" t="s">
        <v>123</v>
      </c>
      <c r="J14" s="7" t="s">
        <v>124</v>
      </c>
    </row>
    <row r="15" spans="1:10" ht="28.8" x14ac:dyDescent="0.3">
      <c r="A15" s="5" t="s">
        <v>125</v>
      </c>
      <c r="B15" s="7" t="s">
        <v>60</v>
      </c>
      <c r="C15" s="10">
        <v>50</v>
      </c>
      <c r="D15" s="7"/>
      <c r="E15" s="6">
        <v>12684</v>
      </c>
      <c r="F15" s="12">
        <v>1.042</v>
      </c>
      <c r="G15" s="9">
        <f>E15/(1+Исходные!$B$4)*F15</f>
        <v>10833.383606557378</v>
      </c>
      <c r="H15" s="6">
        <f t="shared" si="0"/>
        <v>541669.1803278689</v>
      </c>
      <c r="I15" s="7" t="s">
        <v>126</v>
      </c>
      <c r="J15" s="7" t="s">
        <v>127</v>
      </c>
    </row>
    <row r="16" spans="1:10" ht="28.8" x14ac:dyDescent="0.3">
      <c r="A16" s="5" t="s">
        <v>128</v>
      </c>
      <c r="B16" s="7" t="s">
        <v>122</v>
      </c>
      <c r="C16" s="10">
        <v>55</v>
      </c>
      <c r="D16" s="7"/>
      <c r="E16" s="6">
        <v>49800</v>
      </c>
      <c r="F16" s="12">
        <v>1.042</v>
      </c>
      <c r="G16" s="9">
        <f>E16/(1+Исходные!$B$4)*F16</f>
        <v>42534.098360655742</v>
      </c>
      <c r="H16" s="6">
        <f t="shared" si="0"/>
        <v>2339375.409836066</v>
      </c>
      <c r="I16" s="7" t="s">
        <v>129</v>
      </c>
      <c r="J16" s="7" t="s">
        <v>130</v>
      </c>
    </row>
    <row r="17" spans="1:10" x14ac:dyDescent="0.3">
      <c r="A17" s="5" t="s">
        <v>131</v>
      </c>
      <c r="B17" s="7" t="s">
        <v>122</v>
      </c>
      <c r="C17" s="10">
        <v>25</v>
      </c>
      <c r="D17" s="7"/>
      <c r="E17" s="6">
        <v>470640</v>
      </c>
      <c r="F17" s="12">
        <v>1.042</v>
      </c>
      <c r="G17" s="9">
        <f>E17/(1+Исходные!$B$4)*F17</f>
        <v>401972.85245901637</v>
      </c>
      <c r="H17" s="6">
        <f t="shared" si="0"/>
        <v>10049321.311475409</v>
      </c>
      <c r="I17" s="7" t="s">
        <v>132</v>
      </c>
      <c r="J17" s="7" t="s">
        <v>133</v>
      </c>
    </row>
    <row r="18" spans="1:10" ht="28.8" x14ac:dyDescent="0.3">
      <c r="A18" s="5" t="s">
        <v>134</v>
      </c>
      <c r="B18" s="7" t="s">
        <v>135</v>
      </c>
      <c r="C18" s="10">
        <v>1700</v>
      </c>
      <c r="D18" s="7"/>
      <c r="E18" s="6">
        <v>978</v>
      </c>
      <c r="F18" s="12">
        <v>1.0389999999999999</v>
      </c>
      <c r="G18" s="9">
        <f>E18/(1+Исходные!$B$4)*F18</f>
        <v>832.90327868852455</v>
      </c>
      <c r="H18" s="6">
        <f t="shared" si="0"/>
        <v>1415935.5737704916</v>
      </c>
      <c r="I18" s="7" t="s">
        <v>136</v>
      </c>
      <c r="J18" s="7" t="s">
        <v>137</v>
      </c>
    </row>
    <row r="19" spans="1:10" x14ac:dyDescent="0.3">
      <c r="A19" s="5" t="s">
        <v>138</v>
      </c>
      <c r="B19" s="7" t="s">
        <v>139</v>
      </c>
      <c r="C19" s="10">
        <v>8800</v>
      </c>
      <c r="D19" s="7"/>
      <c r="E19" s="6">
        <v>2805</v>
      </c>
      <c r="F19" s="12">
        <v>1.0389999999999999</v>
      </c>
      <c r="G19" s="9">
        <f>E19/(1+Исходные!$B$4)*F19</f>
        <v>2388.8483606557375</v>
      </c>
      <c r="H19" s="6">
        <f t="shared" si="0"/>
        <v>21021865.57377049</v>
      </c>
      <c r="I19" s="7" t="s">
        <v>140</v>
      </c>
      <c r="J19" s="7" t="s">
        <v>141</v>
      </c>
    </row>
    <row r="20" spans="1:10" x14ac:dyDescent="0.3">
      <c r="A20" s="3" t="s">
        <v>142</v>
      </c>
      <c r="B20" s="3"/>
      <c r="C20" s="3"/>
      <c r="D20" s="3"/>
      <c r="E20" s="3"/>
      <c r="F20" s="3"/>
      <c r="G20" s="3"/>
      <c r="H20" s="4">
        <f>SUM(H4:H19)</f>
        <v>227808679.37578171</v>
      </c>
      <c r="I20" s="3"/>
      <c r="J20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90" workbookViewId="0"/>
  </sheetViews>
  <sheetFormatPr defaultRowHeight="14.4" x14ac:dyDescent="0.3"/>
  <cols>
    <col min="1" max="1" width="70" customWidth="1"/>
    <col min="2" max="3" width="8" customWidth="1"/>
    <col min="4" max="5" width="16" customWidth="1"/>
    <col min="6" max="6" width="34" customWidth="1"/>
    <col min="7" max="7" width="18" customWidth="1"/>
  </cols>
  <sheetData>
    <row r="1" spans="1:7" ht="15.6" x14ac:dyDescent="0.3">
      <c r="A1" s="1" t="s">
        <v>143</v>
      </c>
    </row>
    <row r="3" spans="1:7" ht="31.95" customHeight="1" x14ac:dyDescent="0.3">
      <c r="A3" s="2" t="s">
        <v>72</v>
      </c>
      <c r="B3" s="2" t="s">
        <v>34</v>
      </c>
      <c r="C3" s="2" t="s">
        <v>144</v>
      </c>
      <c r="D3" s="2" t="s">
        <v>145</v>
      </c>
      <c r="E3" s="2" t="s">
        <v>92</v>
      </c>
      <c r="F3" s="2" t="s">
        <v>93</v>
      </c>
      <c r="G3" s="2" t="s">
        <v>35</v>
      </c>
    </row>
    <row r="4" spans="1:7" ht="43.2" x14ac:dyDescent="0.3">
      <c r="A4" s="5" t="s">
        <v>146</v>
      </c>
      <c r="B4" s="7" t="s">
        <v>135</v>
      </c>
      <c r="C4" s="11">
        <v>1</v>
      </c>
      <c r="D4" s="9">
        <v>67580000</v>
      </c>
      <c r="E4" s="6">
        <f>C4*D4</f>
        <v>67580000</v>
      </c>
      <c r="F4" s="5" t="s">
        <v>147</v>
      </c>
      <c r="G4" s="7" t="s">
        <v>148</v>
      </c>
    </row>
    <row r="5" spans="1:7" ht="28.8" x14ac:dyDescent="0.3">
      <c r="A5" s="5" t="s">
        <v>149</v>
      </c>
      <c r="B5" s="7" t="s">
        <v>135</v>
      </c>
      <c r="C5" s="11">
        <v>1</v>
      </c>
      <c r="D5" s="9">
        <v>13500000</v>
      </c>
      <c r="E5" s="6">
        <f>C5*D5</f>
        <v>13500000</v>
      </c>
      <c r="F5" s="7" t="s">
        <v>150</v>
      </c>
      <c r="G5" s="7" t="s">
        <v>151</v>
      </c>
    </row>
    <row r="6" spans="1:7" x14ac:dyDescent="0.3">
      <c r="A6" s="5" t="s">
        <v>152</v>
      </c>
      <c r="B6" s="7" t="s">
        <v>135</v>
      </c>
      <c r="C6" s="11">
        <v>1</v>
      </c>
      <c r="D6" s="9">
        <v>36800000</v>
      </c>
      <c r="E6" s="6">
        <f>C6*D6</f>
        <v>36800000</v>
      </c>
      <c r="F6" s="7" t="s">
        <v>153</v>
      </c>
      <c r="G6" s="7" t="s">
        <v>154</v>
      </c>
    </row>
    <row r="7" spans="1:7" x14ac:dyDescent="0.3">
      <c r="A7" s="5" t="s">
        <v>155</v>
      </c>
      <c r="B7" s="7" t="s">
        <v>135</v>
      </c>
      <c r="C7" s="11">
        <v>1</v>
      </c>
      <c r="D7" s="9">
        <v>228000000</v>
      </c>
      <c r="E7" s="6">
        <f>C7*D7</f>
        <v>228000000</v>
      </c>
      <c r="F7" s="7" t="s">
        <v>156</v>
      </c>
      <c r="G7" s="7" t="s">
        <v>157</v>
      </c>
    </row>
    <row r="8" spans="1:7" ht="28.8" x14ac:dyDescent="0.3">
      <c r="A8" s="5" t="s">
        <v>158</v>
      </c>
      <c r="B8" s="7" t="s">
        <v>60</v>
      </c>
      <c r="C8" s="11">
        <v>72</v>
      </c>
      <c r="D8" s="9">
        <v>95655.88</v>
      </c>
      <c r="E8" s="6">
        <f>C8*D8</f>
        <v>6887223.3600000003</v>
      </c>
      <c r="F8" s="7" t="s">
        <v>159</v>
      </c>
      <c r="G8" s="7" t="s">
        <v>160</v>
      </c>
    </row>
    <row r="9" spans="1:7" x14ac:dyDescent="0.3">
      <c r="A9" s="3" t="s">
        <v>161</v>
      </c>
      <c r="B9" s="3"/>
      <c r="C9" s="3"/>
      <c r="D9" s="3"/>
      <c r="E9" s="4">
        <f>SUM(E4:E8)</f>
        <v>352767223.36000001</v>
      </c>
      <c r="F9" s="3"/>
      <c r="G9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90" workbookViewId="0"/>
  </sheetViews>
  <sheetFormatPr defaultRowHeight="14.4" x14ac:dyDescent="0.3"/>
  <cols>
    <col min="1" max="1" width="36" customWidth="1"/>
    <col min="2" max="3" width="14" customWidth="1"/>
    <col min="4" max="6" width="10" customWidth="1"/>
    <col min="7" max="9" width="14" customWidth="1"/>
    <col min="10" max="10" width="70" customWidth="1"/>
  </cols>
  <sheetData>
    <row r="1" spans="1:10" ht="15.6" x14ac:dyDescent="0.3">
      <c r="A1" s="1" t="s">
        <v>162</v>
      </c>
    </row>
    <row r="3" spans="1:10" ht="31.95" customHeight="1" x14ac:dyDescent="0.3">
      <c r="A3" s="2" t="s">
        <v>163</v>
      </c>
      <c r="B3" s="2" t="s">
        <v>164</v>
      </c>
      <c r="C3" s="2" t="s">
        <v>30</v>
      </c>
      <c r="D3" s="2" t="s">
        <v>165</v>
      </c>
      <c r="E3" s="2" t="s">
        <v>166</v>
      </c>
      <c r="F3" s="2" t="s">
        <v>167</v>
      </c>
      <c r="G3" s="2" t="s">
        <v>168</v>
      </c>
      <c r="H3" s="2" t="s">
        <v>169</v>
      </c>
      <c r="I3" s="2" t="s">
        <v>170</v>
      </c>
      <c r="J3" s="2" t="s">
        <v>171</v>
      </c>
    </row>
    <row r="4" spans="1:10" x14ac:dyDescent="0.3">
      <c r="A4" s="7" t="s">
        <v>172</v>
      </c>
      <c r="B4" s="6">
        <v>33749.912214802862</v>
      </c>
      <c r="C4" s="6">
        <f>B4*Исходные!$B$9</f>
        <v>35437.407825543007</v>
      </c>
      <c r="D4" s="8">
        <v>0.31147540983606548</v>
      </c>
      <c r="E4" s="8">
        <v>0.68852459016393441</v>
      </c>
      <c r="F4" s="8">
        <v>0</v>
      </c>
      <c r="G4" s="6">
        <f t="shared" ref="G4:G12" si="0">C4*D4</f>
        <v>11037.881125988803</v>
      </c>
      <c r="H4" s="6">
        <f t="shared" ref="H4:H12" si="1">C4*E4</f>
        <v>24399.526699554201</v>
      </c>
      <c r="I4" s="6">
        <f t="shared" ref="I4:I12" si="2">C4*F4</f>
        <v>0</v>
      </c>
      <c r="J4" s="5" t="s">
        <v>173</v>
      </c>
    </row>
    <row r="5" spans="1:10" x14ac:dyDescent="0.3">
      <c r="A5" s="5" t="s">
        <v>174</v>
      </c>
      <c r="B5" s="6">
        <v>81396.847106289264</v>
      </c>
      <c r="C5" s="6">
        <f>B5*Исходные!$B$9</f>
        <v>85466.689461603732</v>
      </c>
      <c r="D5" s="8">
        <v>0.31147540983606548</v>
      </c>
      <c r="E5" s="8">
        <v>0.68852459016393441</v>
      </c>
      <c r="F5" s="8">
        <v>0</v>
      </c>
      <c r="G5" s="6">
        <f t="shared" si="0"/>
        <v>26620.77212738476</v>
      </c>
      <c r="H5" s="6">
        <f t="shared" si="1"/>
        <v>58845.917334218961</v>
      </c>
      <c r="I5" s="6">
        <f t="shared" si="2"/>
        <v>0</v>
      </c>
      <c r="J5" s="5" t="s">
        <v>175</v>
      </c>
    </row>
    <row r="6" spans="1:10" x14ac:dyDescent="0.3">
      <c r="A6" s="5" t="s">
        <v>176</v>
      </c>
      <c r="B6" s="6">
        <v>94632.106798368797</v>
      </c>
      <c r="C6" s="6">
        <f>B6*Исходные!$B$9</f>
        <v>99363.712138287243</v>
      </c>
      <c r="D6" s="8">
        <v>0</v>
      </c>
      <c r="E6" s="8">
        <v>1</v>
      </c>
      <c r="F6" s="8">
        <v>0</v>
      </c>
      <c r="G6" s="6">
        <f t="shared" si="0"/>
        <v>0</v>
      </c>
      <c r="H6" s="6">
        <f t="shared" si="1"/>
        <v>99363.712138287243</v>
      </c>
      <c r="I6" s="6">
        <f t="shared" si="2"/>
        <v>0</v>
      </c>
      <c r="J6" s="5" t="s">
        <v>177</v>
      </c>
    </row>
    <row r="7" spans="1:10" ht="28.8" x14ac:dyDescent="0.3">
      <c r="A7" s="7" t="s">
        <v>178</v>
      </c>
      <c r="B7" s="6">
        <v>46985.17190688241</v>
      </c>
      <c r="C7" s="6">
        <f>B7*Исходные!$B$9</f>
        <v>49334.430502226533</v>
      </c>
      <c r="D7" s="8">
        <v>0</v>
      </c>
      <c r="E7" s="8">
        <v>0.50737463126843663</v>
      </c>
      <c r="F7" s="8">
        <v>0.49262536873156337</v>
      </c>
      <c r="G7" s="6">
        <f t="shared" si="0"/>
        <v>0</v>
      </c>
      <c r="H7" s="6">
        <f t="shared" si="1"/>
        <v>25031.038484905501</v>
      </c>
      <c r="I7" s="6">
        <f t="shared" si="2"/>
        <v>24303.392017321032</v>
      </c>
      <c r="J7" s="5" t="s">
        <v>179</v>
      </c>
    </row>
    <row r="8" spans="1:10" ht="28.8" x14ac:dyDescent="0.3">
      <c r="A8" s="7" t="s">
        <v>180</v>
      </c>
      <c r="B8" s="6">
        <v>41691.068030050592</v>
      </c>
      <c r="C8" s="6">
        <f>B8*Исходные!$B$9</f>
        <v>43775.621431553125</v>
      </c>
      <c r="D8" s="8">
        <v>0</v>
      </c>
      <c r="E8" s="8">
        <v>0.50737463126843652</v>
      </c>
      <c r="F8" s="8">
        <v>0.49262536873156337</v>
      </c>
      <c r="G8" s="6">
        <f t="shared" si="0"/>
        <v>0</v>
      </c>
      <c r="H8" s="6">
        <f t="shared" si="1"/>
        <v>22210.639782380935</v>
      </c>
      <c r="I8" s="6">
        <f t="shared" si="2"/>
        <v>21564.981649172187</v>
      </c>
      <c r="J8" s="5" t="s">
        <v>181</v>
      </c>
    </row>
    <row r="9" spans="1:10" ht="28.8" x14ac:dyDescent="0.3">
      <c r="A9" s="7" t="s">
        <v>182</v>
      </c>
      <c r="B9" s="6">
        <v>107867.3664904484</v>
      </c>
      <c r="C9" s="6">
        <f>B9*Исходные!$B$9</f>
        <v>113260.73481497083</v>
      </c>
      <c r="D9" s="8">
        <v>0</v>
      </c>
      <c r="E9" s="8">
        <v>0.31836734693877561</v>
      </c>
      <c r="F9" s="8">
        <v>0.68163265306122456</v>
      </c>
      <c r="G9" s="6">
        <f t="shared" si="0"/>
        <v>0</v>
      </c>
      <c r="H9" s="6">
        <f t="shared" si="1"/>
        <v>36058.519655378477</v>
      </c>
      <c r="I9" s="6">
        <f t="shared" si="2"/>
        <v>77202.215159592364</v>
      </c>
      <c r="J9" s="5" t="s">
        <v>183</v>
      </c>
    </row>
    <row r="10" spans="1:10" ht="43.2" x14ac:dyDescent="0.3">
      <c r="A10" s="7" t="s">
        <v>184</v>
      </c>
      <c r="B10" s="6">
        <v>49632.223845298329</v>
      </c>
      <c r="C10" s="6">
        <f>B10*Исходные!$B$9</f>
        <v>52113.835037563251</v>
      </c>
      <c r="D10" s="8">
        <v>0</v>
      </c>
      <c r="E10" s="8">
        <v>0</v>
      </c>
      <c r="F10" s="8">
        <v>1</v>
      </c>
      <c r="G10" s="6">
        <f t="shared" si="0"/>
        <v>0</v>
      </c>
      <c r="H10" s="6">
        <f t="shared" si="1"/>
        <v>0</v>
      </c>
      <c r="I10" s="6">
        <f t="shared" si="2"/>
        <v>52113.835037563251</v>
      </c>
      <c r="J10" s="5" t="s">
        <v>185</v>
      </c>
    </row>
    <row r="11" spans="1:10" x14ac:dyDescent="0.3">
      <c r="A11" s="7" t="s">
        <v>186</v>
      </c>
      <c r="B11" s="6">
        <v>73455.691291041527</v>
      </c>
      <c r="C11" s="6">
        <f>B11*Исходные!$B$9</f>
        <v>77128.475855593613</v>
      </c>
      <c r="D11" s="8">
        <v>0.22178988326848251</v>
      </c>
      <c r="E11" s="8">
        <v>0.77821011673151752</v>
      </c>
      <c r="F11" s="8">
        <v>0</v>
      </c>
      <c r="G11" s="6">
        <f t="shared" si="0"/>
        <v>17106.315656688079</v>
      </c>
      <c r="H11" s="6">
        <f t="shared" si="1"/>
        <v>60022.160198905534</v>
      </c>
      <c r="I11" s="6">
        <f t="shared" si="2"/>
        <v>0</v>
      </c>
      <c r="J11" s="7" t="s">
        <v>187</v>
      </c>
    </row>
    <row r="12" spans="1:10" ht="28.8" x14ac:dyDescent="0.3">
      <c r="A12" s="7" t="s">
        <v>188</v>
      </c>
      <c r="B12" s="6">
        <v>52941.03876831822</v>
      </c>
      <c r="C12" s="6">
        <f>B12*Исходные!$B$9</f>
        <v>55588.090706734132</v>
      </c>
      <c r="D12" s="8">
        <v>0</v>
      </c>
      <c r="E12" s="8">
        <v>0.3183673469387755</v>
      </c>
      <c r="F12" s="8">
        <v>0.68163265306122456</v>
      </c>
      <c r="G12" s="6">
        <f t="shared" si="0"/>
        <v>0</v>
      </c>
      <c r="H12" s="6">
        <f t="shared" si="1"/>
        <v>17697.432959694946</v>
      </c>
      <c r="I12" s="6">
        <f t="shared" si="2"/>
        <v>37890.657747039186</v>
      </c>
      <c r="J12" s="5" t="s">
        <v>183</v>
      </c>
    </row>
    <row r="13" spans="1:10" x14ac:dyDescent="0.3">
      <c r="A13" s="3" t="s">
        <v>77</v>
      </c>
      <c r="B13" s="4">
        <f>SUM(B4:B12)</f>
        <v>582351.42645150051</v>
      </c>
      <c r="C13" s="4">
        <f>SUM(C4:C12)</f>
        <v>611468.99777407537</v>
      </c>
      <c r="D13" s="3"/>
      <c r="E13" s="3"/>
      <c r="F13" s="3"/>
      <c r="G13" s="4">
        <f>SUM(G4:G12)</f>
        <v>54764.968910061638</v>
      </c>
      <c r="H13" s="4">
        <f>SUM(H4:H12)</f>
        <v>343628.94725332578</v>
      </c>
      <c r="I13" s="4">
        <f>SUM(I4:I12)</f>
        <v>213075.08161068804</v>
      </c>
      <c r="J13" s="3"/>
    </row>
    <row r="15" spans="1:10" x14ac:dyDescent="0.3">
      <c r="A15" s="16" t="s">
        <v>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="90" workbookViewId="0"/>
  </sheetViews>
  <sheetFormatPr defaultRowHeight="14.4" x14ac:dyDescent="0.3"/>
  <cols>
    <col min="1" max="1" width="8" customWidth="1"/>
    <col min="2" max="2" width="36" customWidth="1"/>
    <col min="3" max="4" width="14" customWidth="1"/>
    <col min="5" max="5" width="10" customWidth="1"/>
    <col min="6" max="6" width="14" customWidth="1"/>
    <col min="7" max="9" width="16" customWidth="1"/>
  </cols>
  <sheetData>
    <row r="1" spans="1:9" ht="15.6" x14ac:dyDescent="0.3">
      <c r="A1" s="1" t="s">
        <v>190</v>
      </c>
    </row>
    <row r="3" spans="1:9" ht="31.95" customHeight="1" x14ac:dyDescent="0.3">
      <c r="A3" s="2" t="s">
        <v>191</v>
      </c>
      <c r="B3" s="2" t="s">
        <v>163</v>
      </c>
      <c r="C3" s="2" t="s">
        <v>192</v>
      </c>
      <c r="D3" s="2" t="s">
        <v>193</v>
      </c>
      <c r="E3" s="2" t="s">
        <v>194</v>
      </c>
      <c r="F3" s="2" t="s">
        <v>195</v>
      </c>
      <c r="G3" s="2" t="s">
        <v>196</v>
      </c>
      <c r="H3" s="2" t="s">
        <v>197</v>
      </c>
      <c r="I3" s="2" t="s">
        <v>198</v>
      </c>
    </row>
    <row r="4" spans="1:9" x14ac:dyDescent="0.3">
      <c r="A4" s="11">
        <v>2027</v>
      </c>
      <c r="B4" s="7" t="s">
        <v>172</v>
      </c>
      <c r="C4" s="6">
        <f>Трудоёмкость!G4</f>
        <v>11037.881125988803</v>
      </c>
      <c r="D4" s="9">
        <v>1043.1500000000001</v>
      </c>
      <c r="E4" s="12">
        <f>Исходные!$B$18</f>
        <v>1.081</v>
      </c>
      <c r="F4" s="9">
        <f t="shared" ref="F4:F19" si="0">D4*E4</f>
        <v>1127.6451500000001</v>
      </c>
      <c r="G4" s="6">
        <f t="shared" ref="G4:G19" si="1">C4*F4</f>
        <v>12446813.117997812</v>
      </c>
      <c r="H4" s="6">
        <f>G4*ДЗП!$B$9</f>
        <v>1662934.5461292625</v>
      </c>
      <c r="I4" s="6">
        <f>(G4+H4)*Взносы!$B$8</f>
        <v>4627997.2338336809</v>
      </c>
    </row>
    <row r="5" spans="1:9" x14ac:dyDescent="0.3">
      <c r="A5" s="11">
        <v>2027</v>
      </c>
      <c r="B5" s="5" t="s">
        <v>174</v>
      </c>
      <c r="C5" s="6">
        <f>Трудоёмкость!G5</f>
        <v>26620.77212738476</v>
      </c>
      <c r="D5" s="9">
        <v>1043.1500000000001</v>
      </c>
      <c r="E5" s="12">
        <f>Исходные!$B$18</f>
        <v>1.081</v>
      </c>
      <c r="F5" s="9">
        <f t="shared" si="0"/>
        <v>1127.6451500000001</v>
      </c>
      <c r="G5" s="6">
        <f t="shared" si="1"/>
        <v>30018784.57870061</v>
      </c>
      <c r="H5" s="6">
        <f>G5*ДЗП!$B$9</f>
        <v>4010606.8465470453</v>
      </c>
      <c r="I5" s="6">
        <f>(G5+H5)*Взносы!$B$8</f>
        <v>11161640.387481233</v>
      </c>
    </row>
    <row r="6" spans="1:9" x14ac:dyDescent="0.3">
      <c r="A6" s="11">
        <v>2027</v>
      </c>
      <c r="B6" s="7" t="s">
        <v>186</v>
      </c>
      <c r="C6" s="6">
        <f>Трудоёмкость!G11</f>
        <v>17106.315656688079</v>
      </c>
      <c r="D6" s="9">
        <v>919.97</v>
      </c>
      <c r="E6" s="12">
        <f>Исходные!$B$18</f>
        <v>1.081</v>
      </c>
      <c r="F6" s="9">
        <f t="shared" si="0"/>
        <v>994.48757000000001</v>
      </c>
      <c r="G6" s="6">
        <f t="shared" si="1"/>
        <v>17012018.289072681</v>
      </c>
      <c r="H6" s="6">
        <f>G6*ДЗП!$B$9</f>
        <v>2272860.7430744879</v>
      </c>
      <c r="I6" s="6">
        <f>(G6+H6)*Взносы!$B$8</f>
        <v>6325440.322544273</v>
      </c>
    </row>
    <row r="7" spans="1:9" x14ac:dyDescent="0.3">
      <c r="A7" s="11">
        <v>2028</v>
      </c>
      <c r="B7" s="7" t="s">
        <v>172</v>
      </c>
      <c r="C7" s="6">
        <f>Трудоёмкость!H4</f>
        <v>24399.526699554201</v>
      </c>
      <c r="D7" s="9">
        <v>1043.1500000000001</v>
      </c>
      <c r="E7" s="12">
        <f>Исходные!$B$19</f>
        <v>1.155</v>
      </c>
      <c r="F7" s="9">
        <f t="shared" si="0"/>
        <v>1204.8382500000002</v>
      </c>
      <c r="G7" s="6">
        <f t="shared" si="1"/>
        <v>29397483.049519166</v>
      </c>
      <c r="H7" s="6">
        <f>G7*ДЗП!$B$9</f>
        <v>3927598.9499357594</v>
      </c>
      <c r="I7" s="6">
        <f>(G7+H7)*Взносы!$B$8</f>
        <v>10930626.895821217</v>
      </c>
    </row>
    <row r="8" spans="1:9" x14ac:dyDescent="0.3">
      <c r="A8" s="11">
        <v>2028</v>
      </c>
      <c r="B8" s="5" t="s">
        <v>174</v>
      </c>
      <c r="C8" s="6">
        <f>Трудоёмкость!H5</f>
        <v>58845.917334218961</v>
      </c>
      <c r="D8" s="9">
        <v>1043.1500000000001</v>
      </c>
      <c r="E8" s="12">
        <f>Исходные!$B$19</f>
        <v>1.155</v>
      </c>
      <c r="F8" s="9">
        <f t="shared" si="0"/>
        <v>1204.8382500000002</v>
      </c>
      <c r="G8" s="6">
        <f t="shared" si="1"/>
        <v>70899812.060605049</v>
      </c>
      <c r="H8" s="6">
        <f>G8*ДЗП!$B$9</f>
        <v>9472444.5263156556</v>
      </c>
      <c r="I8" s="6">
        <f>(G8+H8)*Взносы!$B$8</f>
        <v>26362100.160509996</v>
      </c>
    </row>
    <row r="9" spans="1:9" x14ac:dyDescent="0.3">
      <c r="A9" s="11">
        <v>2028</v>
      </c>
      <c r="B9" s="5" t="s">
        <v>176</v>
      </c>
      <c r="C9" s="6">
        <f>Трудоёмкость!H6</f>
        <v>99363.712138287243</v>
      </c>
      <c r="D9" s="9">
        <v>1043.1500000000001</v>
      </c>
      <c r="E9" s="12">
        <f>Исходные!$B$19</f>
        <v>1.155</v>
      </c>
      <c r="F9" s="9">
        <f t="shared" si="0"/>
        <v>1204.8382500000002</v>
      </c>
      <c r="G9" s="6">
        <f t="shared" si="1"/>
        <v>119717201.04619779</v>
      </c>
      <c r="H9" s="6">
        <f>G9*ДЗП!$B$9</f>
        <v>15994605.807791609</v>
      </c>
      <c r="I9" s="6">
        <f>(G9+H9)*Взносы!$B$8</f>
        <v>44513472.648108527</v>
      </c>
    </row>
    <row r="10" spans="1:9" x14ac:dyDescent="0.3">
      <c r="A10" s="11">
        <v>2028</v>
      </c>
      <c r="B10" s="7" t="s">
        <v>178</v>
      </c>
      <c r="C10" s="6">
        <f>Трудоёмкость!H7</f>
        <v>25031.038484905501</v>
      </c>
      <c r="D10" s="9">
        <v>1146.25</v>
      </c>
      <c r="E10" s="12">
        <f>Исходные!$B$19</f>
        <v>1.155</v>
      </c>
      <c r="F10" s="9">
        <f t="shared" si="0"/>
        <v>1323.91875</v>
      </c>
      <c r="G10" s="6">
        <f t="shared" si="1"/>
        <v>33139061.182137985</v>
      </c>
      <c r="H10" s="6">
        <f>G10*ДЗП!$B$9</f>
        <v>4427485.9069253178</v>
      </c>
      <c r="I10" s="6">
        <f>(G10+H10)*Взносы!$B$8</f>
        <v>12321827.445212765</v>
      </c>
    </row>
    <row r="11" spans="1:9" x14ac:dyDescent="0.3">
      <c r="A11" s="11">
        <v>2028</v>
      </c>
      <c r="B11" s="7" t="s">
        <v>180</v>
      </c>
      <c r="C11" s="6">
        <f>Трудоёмкость!H8</f>
        <v>22210.639782380935</v>
      </c>
      <c r="D11" s="9">
        <v>1146.25</v>
      </c>
      <c r="E11" s="12">
        <f>Исходные!$B$19</f>
        <v>1.155</v>
      </c>
      <c r="F11" s="9">
        <f t="shared" si="0"/>
        <v>1323.91875</v>
      </c>
      <c r="G11" s="6">
        <f t="shared" si="1"/>
        <v>29405082.45739004</v>
      </c>
      <c r="H11" s="6">
        <f>G11*ДЗП!$B$9</f>
        <v>3928614.2554407748</v>
      </c>
      <c r="I11" s="6">
        <f>(G11+H11)*Взносы!$B$8</f>
        <v>10933452.521808511</v>
      </c>
    </row>
    <row r="12" spans="1:9" x14ac:dyDescent="0.3">
      <c r="A12" s="11">
        <v>2028</v>
      </c>
      <c r="B12" s="7" t="s">
        <v>182</v>
      </c>
      <c r="C12" s="6">
        <f>Трудоёмкость!H9</f>
        <v>36058.519655378477</v>
      </c>
      <c r="D12" s="9">
        <v>909.05</v>
      </c>
      <c r="E12" s="12">
        <f>Исходные!$B$19</f>
        <v>1.155</v>
      </c>
      <c r="F12" s="9">
        <f t="shared" si="0"/>
        <v>1049.9527499999999</v>
      </c>
      <c r="G12" s="6">
        <f t="shared" si="1"/>
        <v>37859741.87309368</v>
      </c>
      <c r="H12" s="6">
        <f>G12*ДЗП!$B$9</f>
        <v>5058184.1368910586</v>
      </c>
      <c r="I12" s="6">
        <f>(G12+H12)*Взносы!$B$8</f>
        <v>14077079.731274998</v>
      </c>
    </row>
    <row r="13" spans="1:9" x14ac:dyDescent="0.3">
      <c r="A13" s="11">
        <v>2028</v>
      </c>
      <c r="B13" s="7" t="s">
        <v>186</v>
      </c>
      <c r="C13" s="6">
        <f>Трудоёмкость!H11</f>
        <v>60022.160198905534</v>
      </c>
      <c r="D13" s="9">
        <v>919.97</v>
      </c>
      <c r="E13" s="12">
        <f>Исходные!$B$19</f>
        <v>1.155</v>
      </c>
      <c r="F13" s="9">
        <f t="shared" si="0"/>
        <v>1062.5653500000001</v>
      </c>
      <c r="G13" s="6">
        <f t="shared" si="1"/>
        <v>63777467.659506135</v>
      </c>
      <c r="H13" s="6">
        <f>G13*ДЗП!$B$9</f>
        <v>8520876.246006893</v>
      </c>
      <c r="I13" s="6">
        <f>(G13+H13)*Взносы!$B$8</f>
        <v>23713856.80100828</v>
      </c>
    </row>
    <row r="14" spans="1:9" x14ac:dyDescent="0.3">
      <c r="A14" s="11">
        <v>2028</v>
      </c>
      <c r="B14" s="7" t="s">
        <v>188</v>
      </c>
      <c r="C14" s="6">
        <f>Трудоёмкость!H12</f>
        <v>17697.432959694946</v>
      </c>
      <c r="D14" s="9">
        <v>979.36</v>
      </c>
      <c r="E14" s="12">
        <f>Исходные!$B$19</f>
        <v>1.155</v>
      </c>
      <c r="F14" s="9">
        <f t="shared" si="0"/>
        <v>1131.1608000000001</v>
      </c>
      <c r="G14" s="6">
        <f t="shared" si="1"/>
        <v>20018642.424634904</v>
      </c>
      <c r="H14" s="6">
        <f>G14*ДЗП!$B$9</f>
        <v>2674555.4656394813</v>
      </c>
      <c r="I14" s="6">
        <f>(G14+H14)*Взносы!$B$8</f>
        <v>7443368.9080099994</v>
      </c>
    </row>
    <row r="15" spans="1:9" x14ac:dyDescent="0.3">
      <c r="A15" s="11">
        <v>2029</v>
      </c>
      <c r="B15" s="7" t="s">
        <v>178</v>
      </c>
      <c r="C15" s="6">
        <f>Трудоёмкость!I7</f>
        <v>24303.392017321032</v>
      </c>
      <c r="D15" s="9">
        <v>1146.25</v>
      </c>
      <c r="E15" s="12">
        <f>Исходные!$B$20</f>
        <v>1.2350000000000001</v>
      </c>
      <c r="F15" s="9">
        <f t="shared" si="0"/>
        <v>1415.6187500000001</v>
      </c>
      <c r="G15" s="6">
        <f t="shared" si="1"/>
        <v>34404337.428319983</v>
      </c>
      <c r="H15" s="6">
        <f>G15*ДЗП!$B$9</f>
        <v>4596530.9114759499</v>
      </c>
      <c r="I15" s="6">
        <f>(G15+H15)*Взносы!$B$8</f>
        <v>12792284.815453069</v>
      </c>
    </row>
    <row r="16" spans="1:9" x14ac:dyDescent="0.3">
      <c r="A16" s="11">
        <v>2029</v>
      </c>
      <c r="B16" s="7" t="s">
        <v>180</v>
      </c>
      <c r="C16" s="6">
        <f>Трудоёмкость!I8</f>
        <v>21564.981649172187</v>
      </c>
      <c r="D16" s="9">
        <v>1146.25</v>
      </c>
      <c r="E16" s="12">
        <f>Исходные!$B$20</f>
        <v>1.2350000000000001</v>
      </c>
      <c r="F16" s="9">
        <f t="shared" si="0"/>
        <v>1415.6187500000001</v>
      </c>
      <c r="G16" s="6">
        <f t="shared" si="1"/>
        <v>30527792.365974072</v>
      </c>
      <c r="H16" s="6">
        <f>G16*ДЗП!$B$9</f>
        <v>4078611.9355349978</v>
      </c>
      <c r="I16" s="6">
        <f>(G16+H16)*Взносы!$B$8</f>
        <v>11350900.610894976</v>
      </c>
    </row>
    <row r="17" spans="1:9" x14ac:dyDescent="0.3">
      <c r="A17" s="11">
        <v>2029</v>
      </c>
      <c r="B17" s="7" t="s">
        <v>182</v>
      </c>
      <c r="C17" s="6">
        <f>Трудоёмкость!I9</f>
        <v>77202.215159592364</v>
      </c>
      <c r="D17" s="9">
        <v>909.05</v>
      </c>
      <c r="E17" s="12">
        <f>Исходные!$B$20</f>
        <v>1.2350000000000001</v>
      </c>
      <c r="F17" s="9">
        <f t="shared" si="0"/>
        <v>1122.6767500000001</v>
      </c>
      <c r="G17" s="6">
        <f t="shared" si="1"/>
        <v>86673132.008171886</v>
      </c>
      <c r="H17" s="6">
        <f>G17*ДЗП!$B$9</f>
        <v>11579811.158986527</v>
      </c>
      <c r="I17" s="6">
        <f>(G17+H17)*Взносы!$B$8</f>
        <v>32226965.358827963</v>
      </c>
    </row>
    <row r="18" spans="1:9" x14ac:dyDescent="0.3">
      <c r="A18" s="11">
        <v>2029</v>
      </c>
      <c r="B18" s="7" t="s">
        <v>184</v>
      </c>
      <c r="C18" s="6">
        <f>Трудоёмкость!I10</f>
        <v>52113.835037563251</v>
      </c>
      <c r="D18" s="9">
        <v>921.45</v>
      </c>
      <c r="E18" s="12">
        <f>Исходные!$B$20</f>
        <v>1.2350000000000001</v>
      </c>
      <c r="F18" s="9">
        <f t="shared" si="0"/>
        <v>1137.9907500000002</v>
      </c>
      <c r="G18" s="6">
        <f t="shared" si="1"/>
        <v>59305062.21977289</v>
      </c>
      <c r="H18" s="6">
        <f>G18*ДЗП!$B$9</f>
        <v>7923348.3937348407</v>
      </c>
      <c r="I18" s="6">
        <f>(G18+H18)*Взносы!$B$8</f>
        <v>22050918.681230541</v>
      </c>
    </row>
    <row r="19" spans="1:9" x14ac:dyDescent="0.3">
      <c r="A19" s="11">
        <v>2029</v>
      </c>
      <c r="B19" s="7" t="s">
        <v>188</v>
      </c>
      <c r="C19" s="6">
        <f>Трудоёмкость!I12</f>
        <v>37890.657747039186</v>
      </c>
      <c r="D19" s="9">
        <v>979.36</v>
      </c>
      <c r="E19" s="12">
        <f>Исходные!$B$20</f>
        <v>1.2350000000000001</v>
      </c>
      <c r="F19" s="9">
        <f t="shared" si="0"/>
        <v>1209.5096000000001</v>
      </c>
      <c r="G19" s="6">
        <f t="shared" si="1"/>
        <v>45829114.29535827</v>
      </c>
      <c r="H19" s="6">
        <f>G19*ДЗП!$B$9</f>
        <v>6122918.1042381497</v>
      </c>
      <c r="I19" s="6">
        <f>(G19+H19)*Взносы!$B$8</f>
        <v>17040266.627067629</v>
      </c>
    </row>
    <row r="21" spans="1:9" ht="31.95" customHeight="1" x14ac:dyDescent="0.3">
      <c r="A21" s="2" t="s">
        <v>191</v>
      </c>
      <c r="B21" s="2" t="s">
        <v>77</v>
      </c>
      <c r="C21" s="2" t="s">
        <v>192</v>
      </c>
      <c r="D21" s="2"/>
      <c r="E21" s="2"/>
      <c r="F21" s="2"/>
      <c r="G21" s="2" t="s">
        <v>196</v>
      </c>
      <c r="H21" s="2" t="s">
        <v>197</v>
      </c>
      <c r="I21" s="2" t="s">
        <v>198</v>
      </c>
    </row>
    <row r="22" spans="1:9" x14ac:dyDescent="0.3">
      <c r="A22" s="13">
        <v>2027</v>
      </c>
      <c r="B22" s="3" t="s">
        <v>199</v>
      </c>
      <c r="C22" s="4">
        <f>SUMIF($A$4:$A$19,A22,C$4:C$19)</f>
        <v>54764.968910061638</v>
      </c>
      <c r="D22" s="3"/>
      <c r="E22" s="3"/>
      <c r="F22" s="3"/>
      <c r="G22" s="4">
        <f>SUMIF($A$4:$A$19,A22,G$4:G$19)</f>
        <v>59477615.985771105</v>
      </c>
      <c r="H22" s="4">
        <f>SUMIF($A$4:$A$19,A22,H$4:H$19)</f>
        <v>7946402.1357507957</v>
      </c>
      <c r="I22" s="4">
        <f>SUMIF($A$4:$A$19,A22,I$4:I$19)</f>
        <v>22115077.943859186</v>
      </c>
    </row>
    <row r="23" spans="1:9" x14ac:dyDescent="0.3">
      <c r="A23" s="13">
        <v>2028</v>
      </c>
      <c r="B23" s="3" t="s">
        <v>199</v>
      </c>
      <c r="C23" s="4">
        <f>SUMIF($A$4:$A$19,A23,C$4:C$19)</f>
        <v>343628.94725332578</v>
      </c>
      <c r="D23" s="3"/>
      <c r="E23" s="3"/>
      <c r="F23" s="3"/>
      <c r="G23" s="4">
        <f>SUMIF($A$4:$A$19,A23,G$4:G$19)</f>
        <v>404214491.75308478</v>
      </c>
      <c r="H23" s="4">
        <f>SUMIF($A$4:$A$19,A23,H$4:H$19)</f>
        <v>54004365.294946544</v>
      </c>
      <c r="I23" s="4">
        <f>SUMIF($A$4:$A$19,A23,I$4:I$19)</f>
        <v>150295785.1117543</v>
      </c>
    </row>
    <row r="24" spans="1:9" x14ac:dyDescent="0.3">
      <c r="A24" s="13">
        <v>2029</v>
      </c>
      <c r="B24" s="3" t="s">
        <v>199</v>
      </c>
      <c r="C24" s="4">
        <f>SUMIF($A$4:$A$19,A24,C$4:C$19)</f>
        <v>213075.08161068804</v>
      </c>
      <c r="D24" s="3"/>
      <c r="E24" s="3"/>
      <c r="F24" s="3"/>
      <c r="G24" s="4">
        <f>SUMIF($A$4:$A$19,A24,G$4:G$19)</f>
        <v>256739438.31759712</v>
      </c>
      <c r="H24" s="4">
        <f>SUMIF($A$4:$A$19,A24,H$4:H$19)</f>
        <v>34301220.503970467</v>
      </c>
      <c r="I24" s="4">
        <f>SUMIF($A$4:$A$19,A24,I$4:I$19)</f>
        <v>95461336.09347418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zoomScale="90" workbookViewId="0"/>
  </sheetViews>
  <sheetFormatPr defaultRowHeight="14.4" x14ac:dyDescent="0.3"/>
  <cols>
    <col min="1" max="1" width="40" customWidth="1"/>
    <col min="2" max="2" width="7" customWidth="1"/>
    <col min="3" max="3" width="12" customWidth="1"/>
    <col min="4" max="4" width="10" customWidth="1"/>
    <col min="5" max="5" width="8" customWidth="1"/>
    <col min="6" max="6" width="14" customWidth="1"/>
    <col min="7" max="8" width="12" customWidth="1"/>
    <col min="9" max="9" width="14" customWidth="1"/>
    <col min="10" max="12" width="9" customWidth="1"/>
    <col min="13" max="15" width="15" customWidth="1"/>
  </cols>
  <sheetData>
    <row r="1" spans="1:15" ht="15.6" x14ac:dyDescent="0.3">
      <c r="A1" s="1" t="s">
        <v>200</v>
      </c>
    </row>
    <row r="3" spans="1:15" ht="31.95" customHeight="1" x14ac:dyDescent="0.3">
      <c r="A3" s="2" t="s">
        <v>201</v>
      </c>
      <c r="B3" s="2" t="s">
        <v>202</v>
      </c>
      <c r="C3" s="2" t="s">
        <v>203</v>
      </c>
      <c r="D3" s="2" t="s">
        <v>204</v>
      </c>
      <c r="E3" s="2" t="s">
        <v>1</v>
      </c>
      <c r="F3" s="2" t="s">
        <v>205</v>
      </c>
      <c r="G3" s="2" t="s">
        <v>206</v>
      </c>
      <c r="H3" s="2" t="s">
        <v>207</v>
      </c>
      <c r="I3" s="2" t="s">
        <v>208</v>
      </c>
      <c r="J3" s="2" t="s">
        <v>209</v>
      </c>
      <c r="K3" s="2" t="s">
        <v>210</v>
      </c>
      <c r="L3" s="2" t="s">
        <v>211</v>
      </c>
      <c r="M3" s="2" t="s">
        <v>212</v>
      </c>
      <c r="N3" s="2" t="s">
        <v>213</v>
      </c>
      <c r="O3" s="2" t="s">
        <v>214</v>
      </c>
    </row>
    <row r="4" spans="1:15" x14ac:dyDescent="0.3">
      <c r="A4" s="7" t="s">
        <v>215</v>
      </c>
      <c r="B4" s="11">
        <v>1</v>
      </c>
      <c r="C4" s="6">
        <v>130000</v>
      </c>
      <c r="D4" s="7" t="s">
        <v>216</v>
      </c>
      <c r="E4" s="7" t="s">
        <v>217</v>
      </c>
      <c r="F4" s="6">
        <f>B4*C4*(1+Исходные!$B$11)</f>
        <v>143000</v>
      </c>
      <c r="G4" s="6">
        <f>F4*ДЗП!$B$9</f>
        <v>19105.26315789474</v>
      </c>
      <c r="H4" s="6">
        <f>(F4+G4)*Взносы!$B$8</f>
        <v>53170.526315789488</v>
      </c>
      <c r="I4" s="6">
        <f t="shared" ref="I4:I21" si="0">F4+G4+H4</f>
        <v>215275.78947368424</v>
      </c>
      <c r="J4" s="17">
        <v>4.5335085413929042</v>
      </c>
      <c r="K4" s="17">
        <v>12.02365308804205</v>
      </c>
      <c r="L4" s="17">
        <v>12.352168199737189</v>
      </c>
      <c r="M4" s="6">
        <f>I4*J4*Исходные!$B$18</f>
        <v>1055006.955391106</v>
      </c>
      <c r="N4" s="6">
        <f>I4*K4*Исходные!$B$19</f>
        <v>2989603.6295732767</v>
      </c>
      <c r="O4" s="6">
        <f>I4*L4*Исходные!$B$20</f>
        <v>3284016.6097240485</v>
      </c>
    </row>
    <row r="5" spans="1:15" x14ac:dyDescent="0.3">
      <c r="A5" s="7" t="s">
        <v>218</v>
      </c>
      <c r="B5" s="11">
        <v>4</v>
      </c>
      <c r="C5" s="6">
        <v>170000</v>
      </c>
      <c r="D5" s="7" t="s">
        <v>219</v>
      </c>
      <c r="E5" s="7" t="s">
        <v>217</v>
      </c>
      <c r="F5" s="6">
        <f>B5*C5*(1+Исходные!$B$11)</f>
        <v>748000.00000000012</v>
      </c>
      <c r="G5" s="6">
        <f>F5*ДЗП!$B$9</f>
        <v>99935.222672064803</v>
      </c>
      <c r="H5" s="6">
        <f>(F5+G5)*Взносы!$B$8</f>
        <v>278122.75303643732</v>
      </c>
      <c r="I5" s="6">
        <f t="shared" si="0"/>
        <v>1126057.9757085023</v>
      </c>
      <c r="J5" s="17">
        <v>4.5335085413929042</v>
      </c>
      <c r="K5" s="17">
        <v>12.02365308804205</v>
      </c>
      <c r="L5" s="17">
        <v>12.352168199737189</v>
      </c>
      <c r="M5" s="6">
        <f>I5*J5*Исходные!$B$18</f>
        <v>5518497.9205073239</v>
      </c>
      <c r="N5" s="6">
        <f>I5*K5*Исходные!$B$19</f>
        <v>15637926.67776791</v>
      </c>
      <c r="O5" s="6">
        <f>I5*L5*Исходные!$B$20</f>
        <v>17177933.035479639</v>
      </c>
    </row>
    <row r="6" spans="1:15" x14ac:dyDescent="0.3">
      <c r="A6" s="7" t="s">
        <v>220</v>
      </c>
      <c r="B6" s="11">
        <v>4</v>
      </c>
      <c r="C6" s="6">
        <v>100000</v>
      </c>
      <c r="D6" s="7" t="s">
        <v>219</v>
      </c>
      <c r="E6" s="7" t="s">
        <v>217</v>
      </c>
      <c r="F6" s="6">
        <f>B6*C6*(1+Исходные!$B$11)</f>
        <v>440000.00000000006</v>
      </c>
      <c r="G6" s="6">
        <f>F6*ДЗП!$B$9</f>
        <v>58785.425101214591</v>
      </c>
      <c r="H6" s="6">
        <f>(F6+G6)*Взносы!$B$8</f>
        <v>163601.61943319844</v>
      </c>
      <c r="I6" s="6">
        <f t="shared" si="0"/>
        <v>662387.04453441314</v>
      </c>
      <c r="J6" s="17">
        <v>4.5335085413929042</v>
      </c>
      <c r="K6" s="17">
        <v>12.02365308804205</v>
      </c>
      <c r="L6" s="17">
        <v>12.352168199737189</v>
      </c>
      <c r="M6" s="6">
        <f>I6*J6*Исходные!$B$18</f>
        <v>3246175.2473572497</v>
      </c>
      <c r="N6" s="6">
        <f>I6*K6*Исходные!$B$19</f>
        <v>9198780.3986870069</v>
      </c>
      <c r="O6" s="6">
        <f>I6*L6*Исходные!$B$20</f>
        <v>10104666.491458612</v>
      </c>
    </row>
    <row r="7" spans="1:15" ht="28.8" x14ac:dyDescent="0.3">
      <c r="A7" s="5" t="s">
        <v>221</v>
      </c>
      <c r="B7" s="11">
        <v>3</v>
      </c>
      <c r="C7" s="6">
        <v>150000</v>
      </c>
      <c r="D7" s="7" t="s">
        <v>219</v>
      </c>
      <c r="E7" s="7" t="s">
        <v>217</v>
      </c>
      <c r="F7" s="6">
        <f>B7*C7*(1+Исходные!$B$11)</f>
        <v>495000.00000000006</v>
      </c>
      <c r="G7" s="6">
        <f>F7*ДЗП!$B$9</f>
        <v>66133.603238866417</v>
      </c>
      <c r="H7" s="6">
        <f>(F7+G7)*Взносы!$B$8</f>
        <v>184051.82186234824</v>
      </c>
      <c r="I7" s="6">
        <f t="shared" si="0"/>
        <v>745185.42510121467</v>
      </c>
      <c r="J7" s="17">
        <v>4.5335085413929042</v>
      </c>
      <c r="K7" s="17">
        <v>12.02365308804205</v>
      </c>
      <c r="L7" s="17">
        <v>12.352168199737189</v>
      </c>
      <c r="M7" s="6">
        <f>I7*J7*Исходные!$B$18</f>
        <v>3651947.1532769054</v>
      </c>
      <c r="N7" s="6">
        <f>I7*K7*Исходные!$B$19</f>
        <v>10348627.948522881</v>
      </c>
      <c r="O7" s="6">
        <f>I7*L7*Исходные!$B$20</f>
        <v>11367749.802890936</v>
      </c>
    </row>
    <row r="8" spans="1:15" x14ac:dyDescent="0.3">
      <c r="A8" s="7" t="s">
        <v>222</v>
      </c>
      <c r="B8" s="11">
        <v>2</v>
      </c>
      <c r="C8" s="6">
        <v>120000</v>
      </c>
      <c r="D8" s="7" t="s">
        <v>216</v>
      </c>
      <c r="E8" s="7" t="s">
        <v>217</v>
      </c>
      <c r="F8" s="6">
        <f>B8*C8*(1+Исходные!$B$11)</f>
        <v>264000</v>
      </c>
      <c r="G8" s="6">
        <f>F8*ДЗП!$B$9</f>
        <v>35271.255060728749</v>
      </c>
      <c r="H8" s="6">
        <f>(F8+G8)*Взносы!$B$8</f>
        <v>98160.971659919058</v>
      </c>
      <c r="I8" s="6">
        <f t="shared" si="0"/>
        <v>397432.22672064783</v>
      </c>
      <c r="J8" s="17">
        <v>4.5335085413929042</v>
      </c>
      <c r="K8" s="17">
        <v>12.02365308804205</v>
      </c>
      <c r="L8" s="17">
        <v>12.352168199737189</v>
      </c>
      <c r="M8" s="6">
        <f>I8*J8*Исходные!$B$18</f>
        <v>1947705.1484143494</v>
      </c>
      <c r="N8" s="6">
        <f>I8*K8*Исходные!$B$19</f>
        <v>5519268.2392122028</v>
      </c>
      <c r="O8" s="6">
        <f>I8*L8*Исходные!$B$20</f>
        <v>6062799.8948751669</v>
      </c>
    </row>
    <row r="9" spans="1:15" x14ac:dyDescent="0.3">
      <c r="A9" s="7" t="s">
        <v>223</v>
      </c>
      <c r="B9" s="11">
        <v>4</v>
      </c>
      <c r="C9" s="6">
        <v>150000</v>
      </c>
      <c r="D9" s="7" t="s">
        <v>219</v>
      </c>
      <c r="E9" s="7" t="s">
        <v>217</v>
      </c>
      <c r="F9" s="6">
        <f>B9*C9*(1+Исходные!$B$11)</f>
        <v>660000</v>
      </c>
      <c r="G9" s="6">
        <f>F9*ДЗП!$B$9</f>
        <v>88178.137651821875</v>
      </c>
      <c r="H9" s="6">
        <f>(F9+G9)*Взносы!$B$8</f>
        <v>245402.42914979762</v>
      </c>
      <c r="I9" s="6">
        <f t="shared" si="0"/>
        <v>993580.56680161948</v>
      </c>
      <c r="J9" s="17">
        <v>4.5335085413929042</v>
      </c>
      <c r="K9" s="17">
        <v>12.02365308804205</v>
      </c>
      <c r="L9" s="17">
        <v>12.352168199737189</v>
      </c>
      <c r="M9" s="6">
        <f>I9*J9*Исходные!$B$18</f>
        <v>4869262.8710358739</v>
      </c>
      <c r="N9" s="6">
        <f>I9*K9*Исходные!$B$19</f>
        <v>13798170.598030506</v>
      </c>
      <c r="O9" s="6">
        <f>I9*L9*Исходные!$B$20</f>
        <v>15156999.737187915</v>
      </c>
    </row>
    <row r="10" spans="1:15" x14ac:dyDescent="0.3">
      <c r="A10" s="5" t="s">
        <v>224</v>
      </c>
      <c r="B10" s="11">
        <v>4</v>
      </c>
      <c r="C10" s="6">
        <v>150000</v>
      </c>
      <c r="D10" s="7" t="s">
        <v>219</v>
      </c>
      <c r="E10" s="7" t="s">
        <v>217</v>
      </c>
      <c r="F10" s="6">
        <f>B10*C10*(1+Исходные!$B$11)</f>
        <v>660000</v>
      </c>
      <c r="G10" s="6">
        <f>F10*ДЗП!$B$9</f>
        <v>88178.137651821875</v>
      </c>
      <c r="H10" s="6">
        <f>(F10+G10)*Взносы!$B$8</f>
        <v>245402.42914979762</v>
      </c>
      <c r="I10" s="6">
        <f t="shared" si="0"/>
        <v>993580.56680161948</v>
      </c>
      <c r="J10" s="17">
        <v>4.5335085413929042</v>
      </c>
      <c r="K10" s="17">
        <v>12.02365308804205</v>
      </c>
      <c r="L10" s="17">
        <v>12.352168199737189</v>
      </c>
      <c r="M10" s="6">
        <f>I10*J10*Исходные!$B$18</f>
        <v>4869262.8710358739</v>
      </c>
      <c r="N10" s="6">
        <f>I10*K10*Исходные!$B$19</f>
        <v>13798170.598030506</v>
      </c>
      <c r="O10" s="6">
        <f>I10*L10*Исходные!$B$20</f>
        <v>15156999.737187915</v>
      </c>
    </row>
    <row r="11" spans="1:15" x14ac:dyDescent="0.3">
      <c r="A11" s="7" t="s">
        <v>225</v>
      </c>
      <c r="B11" s="11">
        <v>5</v>
      </c>
      <c r="C11" s="6">
        <v>120000</v>
      </c>
      <c r="D11" s="7" t="s">
        <v>219</v>
      </c>
      <c r="E11" s="7" t="s">
        <v>217</v>
      </c>
      <c r="F11" s="6">
        <f>B11*C11*(1+Исходные!$B$11)</f>
        <v>660000</v>
      </c>
      <c r="G11" s="6">
        <f>F11*ДЗП!$B$9</f>
        <v>88178.137651821875</v>
      </c>
      <c r="H11" s="6">
        <f>(F11+G11)*Взносы!$B$8</f>
        <v>245402.42914979762</v>
      </c>
      <c r="I11" s="6">
        <f t="shared" si="0"/>
        <v>993580.56680161948</v>
      </c>
      <c r="J11" s="17">
        <v>4.5335085413929042</v>
      </c>
      <c r="K11" s="17">
        <v>12.02365308804205</v>
      </c>
      <c r="L11" s="17">
        <v>12.352168199737189</v>
      </c>
      <c r="M11" s="6">
        <f>I11*J11*Исходные!$B$18</f>
        <v>4869262.8710358739</v>
      </c>
      <c r="N11" s="6">
        <f>I11*K11*Исходные!$B$19</f>
        <v>13798170.598030506</v>
      </c>
      <c r="O11" s="6">
        <f>I11*L11*Исходные!$B$20</f>
        <v>15156999.737187915</v>
      </c>
    </row>
    <row r="12" spans="1:15" x14ac:dyDescent="0.3">
      <c r="A12" s="7" t="s">
        <v>226</v>
      </c>
      <c r="B12" s="11">
        <v>1</v>
      </c>
      <c r="C12" s="6">
        <v>200000</v>
      </c>
      <c r="D12" s="7" t="s">
        <v>216</v>
      </c>
      <c r="E12" s="7" t="s">
        <v>227</v>
      </c>
      <c r="F12" s="6">
        <f>B12*C12*(1+Исходные!$B$11)</f>
        <v>220000.00000000003</v>
      </c>
      <c r="G12" s="6">
        <f>F12*ДЗП!$B$9</f>
        <v>29392.712550607295</v>
      </c>
      <c r="H12" s="6">
        <f>(F12+G12)*Взносы!$B$8</f>
        <v>81800.809716599222</v>
      </c>
      <c r="I12" s="6">
        <f t="shared" si="0"/>
        <v>331193.52226720657</v>
      </c>
      <c r="J12" s="17">
        <v>2.59526938239159</v>
      </c>
      <c r="K12" s="17">
        <v>12.02365308804205</v>
      </c>
      <c r="L12" s="17">
        <v>12.352168199737189</v>
      </c>
      <c r="M12" s="6">
        <f>I12*J12*Исходные!$B$18</f>
        <v>929158.8570334157</v>
      </c>
      <c r="N12" s="6">
        <f>I12*K12*Исходные!$B$19</f>
        <v>4599390.1993435035</v>
      </c>
      <c r="O12" s="6">
        <f>I12*L12*Исходные!$B$20</f>
        <v>5052333.2457293058</v>
      </c>
    </row>
    <row r="13" spans="1:15" x14ac:dyDescent="0.3">
      <c r="A13" s="7" t="s">
        <v>228</v>
      </c>
      <c r="B13" s="11">
        <v>5</v>
      </c>
      <c r="C13" s="6">
        <v>170000</v>
      </c>
      <c r="D13" s="7" t="s">
        <v>219</v>
      </c>
      <c r="E13" s="7" t="s">
        <v>227</v>
      </c>
      <c r="F13" s="6">
        <f>B13*C13*(1+Исходные!$B$11)</f>
        <v>935000.00000000012</v>
      </c>
      <c r="G13" s="6">
        <f>F13*ДЗП!$B$9</f>
        <v>124919.028340081</v>
      </c>
      <c r="H13" s="6">
        <f>(F13+G13)*Взносы!$B$8</f>
        <v>347653.44129554671</v>
      </c>
      <c r="I13" s="6">
        <f t="shared" si="0"/>
        <v>1407572.4696356279</v>
      </c>
      <c r="J13" s="17">
        <v>2.59526938239159</v>
      </c>
      <c r="K13" s="17">
        <v>12.02365308804205</v>
      </c>
      <c r="L13" s="17">
        <v>12.352168199737189</v>
      </c>
      <c r="M13" s="6">
        <f>I13*J13*Исходные!$B$18</f>
        <v>3948925.1423920165</v>
      </c>
      <c r="N13" s="6">
        <f>I13*K13*Исходные!$B$19</f>
        <v>19547408.347209889</v>
      </c>
      <c r="O13" s="6">
        <f>I13*L13*Исходные!$B$20</f>
        <v>21472416.294349547</v>
      </c>
    </row>
    <row r="14" spans="1:15" x14ac:dyDescent="0.3">
      <c r="A14" s="7" t="s">
        <v>229</v>
      </c>
      <c r="B14" s="11">
        <v>7</v>
      </c>
      <c r="C14" s="6">
        <v>180000</v>
      </c>
      <c r="D14" s="7" t="s">
        <v>219</v>
      </c>
      <c r="E14" s="7" t="s">
        <v>227</v>
      </c>
      <c r="F14" s="6">
        <f>B14*C14*(1+Исходные!$B$11)</f>
        <v>1386000</v>
      </c>
      <c r="G14" s="6">
        <f>F14*ДЗП!$B$9</f>
        <v>185174.08906882594</v>
      </c>
      <c r="H14" s="6">
        <f>(F14+G14)*Взносы!$B$8</f>
        <v>515345.101214575</v>
      </c>
      <c r="I14" s="6">
        <f t="shared" si="0"/>
        <v>2086519.1902834009</v>
      </c>
      <c r="J14" s="17">
        <v>2.59526938239159</v>
      </c>
      <c r="K14" s="17">
        <v>12.02365308804205</v>
      </c>
      <c r="L14" s="17">
        <v>12.352168199737189</v>
      </c>
      <c r="M14" s="6">
        <f>I14*J14*Исходные!$B$18</f>
        <v>5853700.7993105175</v>
      </c>
      <c r="N14" s="6">
        <f>I14*K14*Исходные!$B$19</f>
        <v>28976158.255864065</v>
      </c>
      <c r="O14" s="6">
        <f>I14*L14*Исходные!$B$20</f>
        <v>31829699.448094621</v>
      </c>
    </row>
    <row r="15" spans="1:15" x14ac:dyDescent="0.3">
      <c r="A15" s="7" t="s">
        <v>230</v>
      </c>
      <c r="B15" s="11">
        <v>7</v>
      </c>
      <c r="C15" s="6">
        <v>130000</v>
      </c>
      <c r="D15" s="7" t="s">
        <v>219</v>
      </c>
      <c r="E15" s="7" t="s">
        <v>227</v>
      </c>
      <c r="F15" s="6">
        <f>B15*C15*(1+Исходные!$B$11)</f>
        <v>1001000.0000000001</v>
      </c>
      <c r="G15" s="6">
        <f>F15*ДЗП!$B$9</f>
        <v>133736.84210526317</v>
      </c>
      <c r="H15" s="6">
        <f>(F15+G15)*Взносы!$B$8</f>
        <v>372193.68421052647</v>
      </c>
      <c r="I15" s="6">
        <f t="shared" si="0"/>
        <v>1506930.5263157899</v>
      </c>
      <c r="J15" s="17">
        <v>2.59526938239159</v>
      </c>
      <c r="K15" s="17">
        <v>12.02365308804205</v>
      </c>
      <c r="L15" s="17">
        <v>12.352168199737189</v>
      </c>
      <c r="M15" s="6">
        <f>I15*J15*Исходные!$B$18</f>
        <v>4227672.7995020412</v>
      </c>
      <c r="N15" s="6">
        <f>I15*K15*Исходные!$B$19</f>
        <v>20927225.407012939</v>
      </c>
      <c r="O15" s="6">
        <f>I15*L15*Исходные!$B$20</f>
        <v>22988116.268068343</v>
      </c>
    </row>
    <row r="16" spans="1:15" x14ac:dyDescent="0.3">
      <c r="A16" s="7" t="s">
        <v>231</v>
      </c>
      <c r="B16" s="11">
        <v>2</v>
      </c>
      <c r="C16" s="6">
        <v>120000</v>
      </c>
      <c r="D16" s="7" t="s">
        <v>219</v>
      </c>
      <c r="E16" s="7" t="s">
        <v>227</v>
      </c>
      <c r="F16" s="6">
        <f>B16*C16*(1+Исходные!$B$11)</f>
        <v>264000</v>
      </c>
      <c r="G16" s="6">
        <f>F16*ДЗП!$B$9</f>
        <v>35271.255060728749</v>
      </c>
      <c r="H16" s="6">
        <f>(F16+G16)*Взносы!$B$8</f>
        <v>98160.971659919058</v>
      </c>
      <c r="I16" s="6">
        <f t="shared" si="0"/>
        <v>397432.22672064783</v>
      </c>
      <c r="J16" s="17">
        <v>2.59526938239159</v>
      </c>
      <c r="K16" s="17">
        <v>12.02365308804205</v>
      </c>
      <c r="L16" s="17">
        <v>12.352168199737189</v>
      </c>
      <c r="M16" s="6">
        <f>I16*J16*Исходные!$B$18</f>
        <v>1114990.6284400986</v>
      </c>
      <c r="N16" s="6">
        <f>I16*K16*Исходные!$B$19</f>
        <v>5519268.2392122028</v>
      </c>
      <c r="O16" s="6">
        <f>I16*L16*Исходные!$B$20</f>
        <v>6062799.8948751669</v>
      </c>
    </row>
    <row r="17" spans="1:15" x14ac:dyDescent="0.3">
      <c r="A17" s="7" t="s">
        <v>232</v>
      </c>
      <c r="B17" s="11">
        <v>2</v>
      </c>
      <c r="C17" s="6">
        <v>150000</v>
      </c>
      <c r="D17" s="7" t="s">
        <v>219</v>
      </c>
      <c r="E17" s="7" t="s">
        <v>227</v>
      </c>
      <c r="F17" s="6">
        <f>B17*C17*(1+Исходные!$B$11)</f>
        <v>330000</v>
      </c>
      <c r="G17" s="6">
        <f>F17*ДЗП!$B$9</f>
        <v>44089.068825910937</v>
      </c>
      <c r="H17" s="6">
        <f>(F17+G17)*Взносы!$B$8</f>
        <v>122701.21457489881</v>
      </c>
      <c r="I17" s="6">
        <f t="shared" si="0"/>
        <v>496790.28340080974</v>
      </c>
      <c r="J17" s="17">
        <v>2.59526938239159</v>
      </c>
      <c r="K17" s="17">
        <v>12.02365308804205</v>
      </c>
      <c r="L17" s="17">
        <v>12.352168199737189</v>
      </c>
      <c r="M17" s="6">
        <f>I17*J17*Исходные!$B$18</f>
        <v>1393738.2855501233</v>
      </c>
      <c r="N17" s="6">
        <f>I17*K17*Исходные!$B$19</f>
        <v>6899085.2990152529</v>
      </c>
      <c r="O17" s="6">
        <f>I17*L17*Исходные!$B$20</f>
        <v>7578499.8685939573</v>
      </c>
    </row>
    <row r="18" spans="1:15" x14ac:dyDescent="0.3">
      <c r="A18" s="7" t="s">
        <v>233</v>
      </c>
      <c r="B18" s="11">
        <v>10</v>
      </c>
      <c r="C18" s="6">
        <v>100000</v>
      </c>
      <c r="D18" s="7" t="s">
        <v>219</v>
      </c>
      <c r="E18" s="7" t="s">
        <v>227</v>
      </c>
      <c r="F18" s="6">
        <f>B18*C18*(1+Исходные!$B$11)</f>
        <v>1100000</v>
      </c>
      <c r="G18" s="6">
        <f>F18*ДЗП!$B$9</f>
        <v>146963.56275303644</v>
      </c>
      <c r="H18" s="6">
        <f>(F18+G18)*Взносы!$B$8</f>
        <v>409004.04858299601</v>
      </c>
      <c r="I18" s="6">
        <f t="shared" si="0"/>
        <v>1655967.6113360324</v>
      </c>
      <c r="J18" s="17">
        <v>2.59526938239159</v>
      </c>
      <c r="K18" s="17">
        <v>12.02365308804205</v>
      </c>
      <c r="L18" s="17">
        <v>12.352168199737189</v>
      </c>
      <c r="M18" s="6">
        <f>I18*J18*Исходные!$B$18</f>
        <v>4645794.2851670776</v>
      </c>
      <c r="N18" s="6">
        <f>I18*K18*Исходные!$B$19</f>
        <v>22996950.996717509</v>
      </c>
      <c r="O18" s="6">
        <f>I18*L18*Исходные!$B$20</f>
        <v>25261666.228646521</v>
      </c>
    </row>
    <row r="19" spans="1:15" x14ac:dyDescent="0.3">
      <c r="A19" s="7" t="s">
        <v>234</v>
      </c>
      <c r="B19" s="11">
        <v>7</v>
      </c>
      <c r="C19" s="6">
        <v>75000</v>
      </c>
      <c r="D19" s="7" t="s">
        <v>235</v>
      </c>
      <c r="E19" s="7" t="s">
        <v>227</v>
      </c>
      <c r="F19" s="6">
        <f>B19*C19*(1+Исходные!$B$11)</f>
        <v>577500</v>
      </c>
      <c r="G19" s="6">
        <f>F19*ДЗП!$B$9</f>
        <v>77155.870445344131</v>
      </c>
      <c r="H19" s="6">
        <f>(F19+G19)*Взносы!$B$8</f>
        <v>214727.12550607292</v>
      </c>
      <c r="I19" s="6">
        <f t="shared" si="0"/>
        <v>869382.99595141702</v>
      </c>
      <c r="J19" s="17">
        <v>2.59526938239159</v>
      </c>
      <c r="K19" s="17">
        <v>12.02365308804205</v>
      </c>
      <c r="L19" s="17">
        <v>12.352168199737189</v>
      </c>
      <c r="M19" s="6">
        <f>I19*J19*Исходные!$B$18</f>
        <v>2439041.9997127154</v>
      </c>
      <c r="N19" s="6">
        <f>I19*K19*Исходные!$B$19</f>
        <v>12073399.273276694</v>
      </c>
      <c r="O19" s="6">
        <f>I19*L19*Исходные!$B$20</f>
        <v>13262374.770039424</v>
      </c>
    </row>
    <row r="20" spans="1:15" x14ac:dyDescent="0.3">
      <c r="A20" s="7" t="s">
        <v>236</v>
      </c>
      <c r="B20" s="11">
        <v>7</v>
      </c>
      <c r="C20" s="6">
        <v>120000</v>
      </c>
      <c r="D20" s="7" t="s">
        <v>219</v>
      </c>
      <c r="E20" s="7" t="s">
        <v>227</v>
      </c>
      <c r="F20" s="6">
        <f>B20*C20*(1+Исходные!$B$11)</f>
        <v>924000.00000000012</v>
      </c>
      <c r="G20" s="6">
        <f>F20*ДЗП!$B$9</f>
        <v>123449.39271255063</v>
      </c>
      <c r="H20" s="6">
        <f>(F20+G20)*Взносы!$B$8</f>
        <v>343563.40080971672</v>
      </c>
      <c r="I20" s="6">
        <f t="shared" si="0"/>
        <v>1391012.7935222674</v>
      </c>
      <c r="J20" s="17">
        <v>2.59526938239159</v>
      </c>
      <c r="K20" s="17">
        <v>12.02365308804205</v>
      </c>
      <c r="L20" s="17">
        <v>12.352168199737189</v>
      </c>
      <c r="M20" s="6">
        <f>I20*J20*Исходные!$B$18</f>
        <v>3902467.199540345</v>
      </c>
      <c r="N20" s="6">
        <f>I20*K20*Исходные!$B$19</f>
        <v>19317438.837242711</v>
      </c>
      <c r="O20" s="6">
        <f>I20*L20*Исходные!$B$20</f>
        <v>21219799.632063083</v>
      </c>
    </row>
    <row r="21" spans="1:15" x14ac:dyDescent="0.3">
      <c r="A21" s="5" t="s">
        <v>237</v>
      </c>
      <c r="B21" s="11">
        <v>2</v>
      </c>
      <c r="C21" s="6">
        <v>80000</v>
      </c>
      <c r="D21" s="7" t="s">
        <v>238</v>
      </c>
      <c r="E21" s="7" t="s">
        <v>239</v>
      </c>
      <c r="F21" s="6">
        <f>B21*C21*(1+Исходные!$B$11)</f>
        <v>176000</v>
      </c>
      <c r="G21" s="6">
        <f>F21*ДЗП!$B$9</f>
        <v>23514.170040485831</v>
      </c>
      <c r="H21" s="6">
        <f>(F21+G21)*Взносы!$B$8</f>
        <v>65440.647773279365</v>
      </c>
      <c r="I21" s="6">
        <f t="shared" si="0"/>
        <v>264954.8178137652</v>
      </c>
      <c r="J21" s="17">
        <v>10.21681997371879</v>
      </c>
      <c r="K21" s="17">
        <v>12.02365308804205</v>
      </c>
      <c r="L21" s="17">
        <v>12.352168199737189</v>
      </c>
      <c r="M21" s="6">
        <f>I21*J21*Исходные!$B$18</f>
        <v>2926262.324429288</v>
      </c>
      <c r="N21" s="6">
        <f>I21*K21*Исходные!$B$19</f>
        <v>3679512.1594748017</v>
      </c>
      <c r="O21" s="6">
        <f>I21*L21*Исходные!$B$20</f>
        <v>4041866.5965834437</v>
      </c>
    </row>
    <row r="22" spans="1:15" x14ac:dyDescent="0.3">
      <c r="A22" s="3" t="s">
        <v>77</v>
      </c>
      <c r="B22" s="13">
        <f>SUM(B4:B21)</f>
        <v>77</v>
      </c>
      <c r="C22" s="3"/>
      <c r="D22" s="3"/>
      <c r="E22" s="3"/>
      <c r="F22" s="3"/>
      <c r="G22" s="3"/>
      <c r="H22" s="3"/>
      <c r="I22" s="4">
        <f>SUM(I4:I21)</f>
        <v>16534836.599190285</v>
      </c>
      <c r="J22" s="3"/>
      <c r="K22" s="3"/>
      <c r="L22" s="3"/>
      <c r="M22" s="4">
        <f>SUM(M4:M21)</f>
        <v>61408873.359132193</v>
      </c>
      <c r="N22" s="4">
        <f>SUM(N4:N21)</f>
        <v>229624555.70222437</v>
      </c>
      <c r="O22" s="4">
        <f>SUM(O4:O21)</f>
        <v>252237737.2930356</v>
      </c>
    </row>
    <row r="24" spans="1:15" ht="28.8" x14ac:dyDescent="0.3">
      <c r="A24" s="14" t="s">
        <v>240</v>
      </c>
      <c r="B24" s="3"/>
      <c r="C24" s="3"/>
      <c r="D24" s="3"/>
      <c r="E24" s="3" t="s">
        <v>227</v>
      </c>
      <c r="F24" s="3"/>
      <c r="G24" s="3"/>
      <c r="H24" s="3"/>
      <c r="I24" s="3"/>
      <c r="J24" s="3"/>
      <c r="K24" s="3"/>
      <c r="L24" s="3"/>
      <c r="M24" s="4">
        <f t="shared" ref="M24:O26" si="1">SUMIF($E$4:$E$21,$E24,M$4:M$21)</f>
        <v>28455489.996648349</v>
      </c>
      <c r="N24" s="4">
        <f t="shared" si="1"/>
        <v>140856324.85489479</v>
      </c>
      <c r="O24" s="4">
        <f t="shared" si="1"/>
        <v>154727705.65045998</v>
      </c>
    </row>
    <row r="25" spans="1:15" ht="28.8" x14ac:dyDescent="0.3">
      <c r="A25" s="14" t="s">
        <v>241</v>
      </c>
      <c r="B25" s="3"/>
      <c r="C25" s="3"/>
      <c r="D25" s="3"/>
      <c r="E25" s="3" t="s">
        <v>217</v>
      </c>
      <c r="F25" s="3"/>
      <c r="G25" s="3"/>
      <c r="H25" s="3"/>
      <c r="I25" s="3"/>
      <c r="J25" s="3"/>
      <c r="K25" s="3"/>
      <c r="L25" s="3"/>
      <c r="M25" s="4">
        <f t="shared" si="1"/>
        <v>30027121.038054556</v>
      </c>
      <c r="N25" s="4">
        <f t="shared" si="1"/>
        <v>85088718.687854797</v>
      </c>
      <c r="O25" s="4">
        <f t="shared" si="1"/>
        <v>93468165.045992136</v>
      </c>
    </row>
    <row r="26" spans="1:15" x14ac:dyDescent="0.3">
      <c r="A26" s="14" t="s">
        <v>242</v>
      </c>
      <c r="B26" s="3"/>
      <c r="C26" s="3"/>
      <c r="D26" s="3"/>
      <c r="E26" s="3" t="s">
        <v>239</v>
      </c>
      <c r="F26" s="3"/>
      <c r="G26" s="3"/>
      <c r="H26" s="3"/>
      <c r="I26" s="3"/>
      <c r="J26" s="3"/>
      <c r="K26" s="3"/>
      <c r="L26" s="3"/>
      <c r="M26" s="4">
        <f t="shared" si="1"/>
        <v>2926262.324429288</v>
      </c>
      <c r="N26" s="4">
        <f t="shared" si="1"/>
        <v>3679512.1594748017</v>
      </c>
      <c r="O26" s="4">
        <f t="shared" si="1"/>
        <v>4041866.5965834437</v>
      </c>
    </row>
    <row r="28" spans="1:15" x14ac:dyDescent="0.3">
      <c r="A28" s="16" t="s">
        <v>243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="90" workbookViewId="0"/>
  </sheetViews>
  <sheetFormatPr defaultRowHeight="14.4" x14ac:dyDescent="0.3"/>
  <cols>
    <col min="1" max="1" width="44" customWidth="1"/>
    <col min="2" max="2" width="60" customWidth="1"/>
    <col min="3" max="3" width="14" customWidth="1"/>
    <col min="4" max="4" width="9" customWidth="1"/>
    <col min="5" max="5" width="14" customWidth="1"/>
    <col min="6" max="6" width="10" customWidth="1"/>
    <col min="7" max="7" width="14" customWidth="1"/>
  </cols>
  <sheetData>
    <row r="1" spans="1:7" ht="15.6" x14ac:dyDescent="0.3">
      <c r="A1" s="1" t="s">
        <v>244</v>
      </c>
    </row>
    <row r="3" spans="1:7" ht="31.95" customHeight="1" x14ac:dyDescent="0.3">
      <c r="A3" s="2" t="s">
        <v>245</v>
      </c>
      <c r="B3" s="2" t="s">
        <v>246</v>
      </c>
      <c r="C3" s="2" t="s">
        <v>247</v>
      </c>
      <c r="D3" s="2" t="s">
        <v>194</v>
      </c>
      <c r="E3" s="2" t="s">
        <v>248</v>
      </c>
      <c r="F3" s="2" t="s">
        <v>249</v>
      </c>
      <c r="G3" s="2" t="s">
        <v>250</v>
      </c>
    </row>
    <row r="4" spans="1:7" x14ac:dyDescent="0.3">
      <c r="A4" s="5" t="s">
        <v>251</v>
      </c>
      <c r="B4" s="5" t="s">
        <v>252</v>
      </c>
      <c r="C4" s="9">
        <v>4200</v>
      </c>
      <c r="D4" s="12">
        <v>1.04</v>
      </c>
      <c r="E4" s="9">
        <f t="shared" ref="E4:E14" si="0">C4*D4</f>
        <v>4368</v>
      </c>
      <c r="F4" s="11">
        <v>30</v>
      </c>
      <c r="G4" s="6">
        <f t="shared" ref="G4:G11" si="1">E4*F4</f>
        <v>131040</v>
      </c>
    </row>
    <row r="5" spans="1:7" ht="28.8" x14ac:dyDescent="0.3">
      <c r="A5" s="5" t="s">
        <v>253</v>
      </c>
      <c r="B5" s="5" t="s">
        <v>254</v>
      </c>
      <c r="C5" s="9">
        <v>8000</v>
      </c>
      <c r="D5" s="12">
        <v>1.04</v>
      </c>
      <c r="E5" s="9">
        <f t="shared" si="0"/>
        <v>8320</v>
      </c>
      <c r="F5" s="11">
        <v>15</v>
      </c>
      <c r="G5" s="6">
        <f t="shared" si="1"/>
        <v>124800</v>
      </c>
    </row>
    <row r="6" spans="1:7" x14ac:dyDescent="0.3">
      <c r="A6" s="7" t="s">
        <v>255</v>
      </c>
      <c r="B6" s="5" t="s">
        <v>256</v>
      </c>
      <c r="C6" s="9">
        <v>526</v>
      </c>
      <c r="D6" s="12">
        <v>1.04</v>
      </c>
      <c r="E6" s="9">
        <f t="shared" si="0"/>
        <v>547.04</v>
      </c>
      <c r="F6" s="11">
        <v>25</v>
      </c>
      <c r="G6" s="6">
        <f t="shared" si="1"/>
        <v>13676</v>
      </c>
    </row>
    <row r="7" spans="1:7" x14ac:dyDescent="0.3">
      <c r="A7" s="5" t="s">
        <v>257</v>
      </c>
      <c r="B7" s="5" t="s">
        <v>258</v>
      </c>
      <c r="C7" s="9">
        <v>2000</v>
      </c>
      <c r="D7" s="12">
        <v>1.04</v>
      </c>
      <c r="E7" s="9">
        <f t="shared" si="0"/>
        <v>2080</v>
      </c>
      <c r="F7" s="11">
        <v>35</v>
      </c>
      <c r="G7" s="6">
        <f t="shared" si="1"/>
        <v>72800</v>
      </c>
    </row>
    <row r="8" spans="1:7" x14ac:dyDescent="0.3">
      <c r="A8" s="7" t="s">
        <v>259</v>
      </c>
      <c r="B8" s="5" t="s">
        <v>260</v>
      </c>
      <c r="C8" s="9">
        <v>7300</v>
      </c>
      <c r="D8" s="12">
        <v>1.04</v>
      </c>
      <c r="E8" s="9">
        <f t="shared" si="0"/>
        <v>7592</v>
      </c>
      <c r="F8" s="11">
        <v>20</v>
      </c>
      <c r="G8" s="6">
        <f t="shared" si="1"/>
        <v>151840</v>
      </c>
    </row>
    <row r="9" spans="1:7" x14ac:dyDescent="0.3">
      <c r="A9" s="7" t="s">
        <v>261</v>
      </c>
      <c r="B9" s="5" t="s">
        <v>262</v>
      </c>
      <c r="C9" s="9">
        <v>350</v>
      </c>
      <c r="D9" s="12">
        <v>1.04</v>
      </c>
      <c r="E9" s="9">
        <f t="shared" si="0"/>
        <v>364</v>
      </c>
      <c r="F9" s="11">
        <v>100</v>
      </c>
      <c r="G9" s="6">
        <f t="shared" si="1"/>
        <v>36400</v>
      </c>
    </row>
    <row r="10" spans="1:7" x14ac:dyDescent="0.3">
      <c r="A10" s="7" t="s">
        <v>263</v>
      </c>
      <c r="B10" s="5" t="s">
        <v>264</v>
      </c>
      <c r="C10" s="9">
        <v>808</v>
      </c>
      <c r="D10" s="12">
        <v>1.04</v>
      </c>
      <c r="E10" s="9">
        <f t="shared" si="0"/>
        <v>840.32</v>
      </c>
      <c r="F10" s="11">
        <v>150</v>
      </c>
      <c r="G10" s="6">
        <f t="shared" si="1"/>
        <v>126048.00000000001</v>
      </c>
    </row>
    <row r="11" spans="1:7" ht="28.8" x14ac:dyDescent="0.3">
      <c r="A11" s="7" t="s">
        <v>259</v>
      </c>
      <c r="B11" s="5" t="s">
        <v>265</v>
      </c>
      <c r="C11" s="9">
        <v>3000</v>
      </c>
      <c r="D11" s="12">
        <v>1.04</v>
      </c>
      <c r="E11" s="9">
        <f t="shared" si="0"/>
        <v>3120</v>
      </c>
      <c r="F11" s="11">
        <v>30</v>
      </c>
      <c r="G11" s="6">
        <f t="shared" si="1"/>
        <v>93600</v>
      </c>
    </row>
    <row r="12" spans="1:7" x14ac:dyDescent="0.3">
      <c r="A12" s="7" t="s">
        <v>266</v>
      </c>
      <c r="B12" s="5" t="s">
        <v>267</v>
      </c>
      <c r="C12" s="9">
        <v>376800</v>
      </c>
      <c r="D12" s="12">
        <v>1.04</v>
      </c>
      <c r="E12" s="9">
        <f t="shared" si="0"/>
        <v>391872</v>
      </c>
      <c r="F12" s="7" t="s">
        <v>268</v>
      </c>
      <c r="G12" s="6">
        <f>E12</f>
        <v>391872</v>
      </c>
    </row>
    <row r="13" spans="1:7" x14ac:dyDescent="0.3">
      <c r="A13" s="7" t="s">
        <v>269</v>
      </c>
      <c r="B13" s="5" t="s">
        <v>270</v>
      </c>
      <c r="C13" s="9">
        <v>178020</v>
      </c>
      <c r="D13" s="12">
        <v>1.0409999999999999</v>
      </c>
      <c r="E13" s="9">
        <f t="shared" si="0"/>
        <v>185318.81999999998</v>
      </c>
      <c r="F13" s="7" t="s">
        <v>268</v>
      </c>
      <c r="G13" s="6">
        <f>E13</f>
        <v>185318.81999999998</v>
      </c>
    </row>
    <row r="14" spans="1:7" x14ac:dyDescent="0.3">
      <c r="A14" s="7" t="s">
        <v>271</v>
      </c>
      <c r="B14" s="5" t="s">
        <v>272</v>
      </c>
      <c r="C14" s="9">
        <v>306360</v>
      </c>
      <c r="D14" s="12">
        <v>1.04</v>
      </c>
      <c r="E14" s="9">
        <f t="shared" si="0"/>
        <v>318614.40000000002</v>
      </c>
      <c r="F14" s="7" t="s">
        <v>268</v>
      </c>
      <c r="G14" s="6">
        <f>E14</f>
        <v>318614.40000000002</v>
      </c>
    </row>
    <row r="15" spans="1:7" x14ac:dyDescent="0.3">
      <c r="A15" s="3" t="s">
        <v>77</v>
      </c>
      <c r="B15" s="3"/>
      <c r="C15" s="3"/>
      <c r="D15" s="3"/>
      <c r="E15" s="3"/>
      <c r="F15" s="3"/>
      <c r="G15" s="4">
        <f>SUM(G4:G14)</f>
        <v>1646009.2200000002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="90" workbookViewId="0"/>
  </sheetViews>
  <sheetFormatPr defaultRowHeight="14.4" x14ac:dyDescent="0.3"/>
  <cols>
    <col min="1" max="1" width="34" customWidth="1"/>
    <col min="2" max="2" width="36" customWidth="1"/>
    <col min="3" max="3" width="14" customWidth="1"/>
    <col min="4" max="4" width="60" customWidth="1"/>
  </cols>
  <sheetData>
    <row r="1" spans="1:4" ht="15.6" x14ac:dyDescent="0.3">
      <c r="A1" s="1" t="s">
        <v>273</v>
      </c>
    </row>
    <row r="3" spans="1:4" ht="31.95" customHeight="1" x14ac:dyDescent="0.3">
      <c r="A3" s="2" t="s">
        <v>274</v>
      </c>
      <c r="B3" s="2" t="s">
        <v>275</v>
      </c>
      <c r="C3" s="2" t="s">
        <v>276</v>
      </c>
      <c r="D3" s="2" t="s">
        <v>277</v>
      </c>
    </row>
    <row r="4" spans="1:4" x14ac:dyDescent="0.3">
      <c r="A4" s="7" t="s">
        <v>278</v>
      </c>
      <c r="B4" s="5" t="s">
        <v>279</v>
      </c>
      <c r="C4" s="6">
        <v>124000</v>
      </c>
      <c r="D4" s="5" t="s">
        <v>280</v>
      </c>
    </row>
    <row r="5" spans="1:4" ht="28.8" x14ac:dyDescent="0.3">
      <c r="A5" s="7" t="s">
        <v>281</v>
      </c>
      <c r="B5" s="5" t="s">
        <v>282</v>
      </c>
      <c r="C5" s="6">
        <v>3000</v>
      </c>
      <c r="D5" s="5" t="s">
        <v>283</v>
      </c>
    </row>
    <row r="6" spans="1:4" x14ac:dyDescent="0.3">
      <c r="A6" s="7" t="s">
        <v>281</v>
      </c>
      <c r="B6" s="7" t="s">
        <v>284</v>
      </c>
      <c r="C6" s="6">
        <v>0</v>
      </c>
      <c r="D6" s="5" t="s">
        <v>285</v>
      </c>
    </row>
    <row r="7" spans="1:4" x14ac:dyDescent="0.3">
      <c r="A7" s="3" t="s">
        <v>286</v>
      </c>
      <c r="B7" s="3"/>
      <c r="C7" s="4">
        <f>SUM(C4:C6)</f>
        <v>127000</v>
      </c>
      <c r="D7" s="3"/>
    </row>
    <row r="9" spans="1:4" ht="31.95" customHeight="1" x14ac:dyDescent="0.3">
      <c r="A9" s="2" t="s">
        <v>191</v>
      </c>
      <c r="B9" s="2" t="s">
        <v>287</v>
      </c>
      <c r="C9" s="2" t="s">
        <v>288</v>
      </c>
      <c r="D9" s="2"/>
    </row>
    <row r="10" spans="1:4" x14ac:dyDescent="0.3">
      <c r="A10" s="11">
        <v>2027</v>
      </c>
      <c r="B10" s="17">
        <v>10.21681997371879</v>
      </c>
      <c r="C10" s="6">
        <f>Маркетинг!$C$7*B10</f>
        <v>1297536.1366622862</v>
      </c>
      <c r="D10" s="7"/>
    </row>
    <row r="11" spans="1:4" x14ac:dyDescent="0.3">
      <c r="A11" s="11">
        <v>2028</v>
      </c>
      <c r="B11" s="17">
        <v>12.02365308804205</v>
      </c>
      <c r="C11" s="6">
        <f>Маркетинг!$C$7*B11</f>
        <v>1527003.9421813402</v>
      </c>
      <c r="D11" s="7"/>
    </row>
    <row r="12" spans="1:4" x14ac:dyDescent="0.3">
      <c r="A12" s="11">
        <v>2029</v>
      </c>
      <c r="B12" s="17">
        <v>12.352168199737189</v>
      </c>
      <c r="C12" s="6">
        <f>Маркетинг!$C$7*B12</f>
        <v>1568725.3613666231</v>
      </c>
      <c r="D12" s="7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90" workbookViewId="0"/>
  </sheetViews>
  <sheetFormatPr defaultRowHeight="14.4" x14ac:dyDescent="0.3"/>
  <cols>
    <col min="1" max="1" width="24" customWidth="1"/>
    <col min="2" max="2" width="14" customWidth="1"/>
    <col min="3" max="3" width="60" customWidth="1"/>
    <col min="4" max="5" width="10" customWidth="1"/>
    <col min="6" max="8" width="16" customWidth="1"/>
  </cols>
  <sheetData>
    <row r="1" spans="1:8" ht="15.6" x14ac:dyDescent="0.3">
      <c r="A1" s="1" t="s">
        <v>289</v>
      </c>
    </row>
    <row r="3" spans="1:8" ht="43.2" x14ac:dyDescent="0.3">
      <c r="A3" s="5" t="s">
        <v>290</v>
      </c>
      <c r="B3" s="9">
        <f>'АУП и ИТР'!C10*(1+Исходные!$B$11)/Исходные!$B$12*(1+ДЗП!$B$9)*(1+Взносы!$B$8)</f>
        <v>1508.4725204478025</v>
      </c>
    </row>
    <row r="5" spans="1:8" ht="31.95" customHeight="1" x14ac:dyDescent="0.3">
      <c r="A5" s="2" t="s">
        <v>291</v>
      </c>
      <c r="B5" s="2" t="s">
        <v>164</v>
      </c>
      <c r="C5" s="2" t="s">
        <v>292</v>
      </c>
      <c r="D5" s="2" t="s">
        <v>293</v>
      </c>
      <c r="E5" s="2" t="s">
        <v>165</v>
      </c>
      <c r="F5" s="2" t="s">
        <v>294</v>
      </c>
      <c r="G5" s="2" t="s">
        <v>212</v>
      </c>
      <c r="H5" s="2" t="s">
        <v>250</v>
      </c>
    </row>
    <row r="6" spans="1:8" x14ac:dyDescent="0.3">
      <c r="A6" s="7" t="s">
        <v>295</v>
      </c>
      <c r="B6" s="6">
        <v>1628.955039025175</v>
      </c>
      <c r="C6" s="7" t="s">
        <v>296</v>
      </c>
      <c r="D6" s="8">
        <v>1</v>
      </c>
      <c r="E6" s="8">
        <v>0</v>
      </c>
      <c r="F6" s="6">
        <f>B6*$B$3*D6*Исходные!$B$17</f>
        <v>2457233.9134144541</v>
      </c>
      <c r="G6" s="6">
        <f>B6*$B$3*E6*Исходные!$B$18</f>
        <v>0</v>
      </c>
      <c r="H6" s="6">
        <f>F6+G6</f>
        <v>2457233.9134144541</v>
      </c>
    </row>
    <row r="7" spans="1:8" x14ac:dyDescent="0.3">
      <c r="A7" s="7" t="s">
        <v>297</v>
      </c>
      <c r="B7" s="6">
        <v>6515.8201561007018</v>
      </c>
      <c r="C7" s="5" t="s">
        <v>298</v>
      </c>
      <c r="D7" s="8">
        <v>0.65</v>
      </c>
      <c r="E7" s="8">
        <v>0.35</v>
      </c>
      <c r="F7" s="6">
        <f>B7*$B$3*D7*Исходные!$B$17</f>
        <v>6388808.174877583</v>
      </c>
      <c r="G7" s="6">
        <f>B7*$B$3*E7*Исходные!$B$18</f>
        <v>3718777.8045614362</v>
      </c>
      <c r="H7" s="6">
        <f>F7+G7</f>
        <v>10107585.97943902</v>
      </c>
    </row>
    <row r="8" spans="1:8" ht="28.8" x14ac:dyDescent="0.3">
      <c r="A8" s="7" t="s">
        <v>299</v>
      </c>
      <c r="B8" s="6">
        <v>24434.325585377639</v>
      </c>
      <c r="C8" s="5" t="s">
        <v>300</v>
      </c>
      <c r="D8" s="8">
        <v>0</v>
      </c>
      <c r="E8" s="8">
        <v>1</v>
      </c>
      <c r="F8" s="6">
        <f>B8*$B$3*D8*Исходные!$B$17</f>
        <v>0</v>
      </c>
      <c r="G8" s="6">
        <f>B8*$B$3*E8*Исходные!$B$18</f>
        <v>39844047.906015396</v>
      </c>
      <c r="H8" s="6">
        <f>F8+G8</f>
        <v>39844047.906015396</v>
      </c>
    </row>
    <row r="9" spans="1:8" x14ac:dyDescent="0.3">
      <c r="A9" s="3" t="s">
        <v>77</v>
      </c>
      <c r="B9" s="4">
        <f>SUM(B6:B8)</f>
        <v>32579.100780503515</v>
      </c>
      <c r="C9" s="3"/>
      <c r="D9" s="3"/>
      <c r="E9" s="3"/>
      <c r="F9" s="4">
        <f>SUM(F6:F8)</f>
        <v>8846042.0882920362</v>
      </c>
      <c r="G9" s="4">
        <f>SUM(G6:G8)</f>
        <v>43562825.710576832</v>
      </c>
      <c r="H9" s="4">
        <f>SUM(H6:H8)</f>
        <v>52408867.798868872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zoomScale="90" workbookViewId="0"/>
  </sheetViews>
  <sheetFormatPr defaultRowHeight="14.4" x14ac:dyDescent="0.3"/>
  <cols>
    <col min="1" max="1" width="64" customWidth="1"/>
    <col min="2" max="2" width="8" customWidth="1"/>
    <col min="3" max="4" width="16" customWidth="1"/>
  </cols>
  <sheetData>
    <row r="1" spans="1:4" ht="15.6" x14ac:dyDescent="0.3">
      <c r="A1" s="1" t="s">
        <v>301</v>
      </c>
    </row>
    <row r="3" spans="1:4" ht="31.95" customHeight="1" x14ac:dyDescent="0.3">
      <c r="A3" s="2" t="s">
        <v>302</v>
      </c>
      <c r="B3" s="2" t="s">
        <v>144</v>
      </c>
      <c r="C3" s="2" t="s">
        <v>303</v>
      </c>
      <c r="D3" s="2" t="s">
        <v>92</v>
      </c>
    </row>
    <row r="4" spans="1:4" ht="28.8" x14ac:dyDescent="0.3">
      <c r="A4" s="5" t="s">
        <v>304</v>
      </c>
      <c r="B4" s="11">
        <v>1</v>
      </c>
      <c r="C4" s="6">
        <v>6800000</v>
      </c>
      <c r="D4" s="6">
        <f t="shared" ref="D4:D21" si="0">B4*C4</f>
        <v>6800000</v>
      </c>
    </row>
    <row r="5" spans="1:4" x14ac:dyDescent="0.3">
      <c r="A5" s="5" t="s">
        <v>305</v>
      </c>
      <c r="B5" s="11">
        <v>1</v>
      </c>
      <c r="C5" s="6">
        <v>380000</v>
      </c>
      <c r="D5" s="6">
        <f t="shared" si="0"/>
        <v>380000</v>
      </c>
    </row>
    <row r="6" spans="1:4" x14ac:dyDescent="0.3">
      <c r="A6" s="7" t="s">
        <v>306</v>
      </c>
      <c r="B6" s="11">
        <v>1</v>
      </c>
      <c r="C6" s="6">
        <v>450000</v>
      </c>
      <c r="D6" s="6">
        <f t="shared" si="0"/>
        <v>450000</v>
      </c>
    </row>
    <row r="7" spans="1:4" x14ac:dyDescent="0.3">
      <c r="A7" s="5" t="s">
        <v>307</v>
      </c>
      <c r="B7" s="11">
        <v>1</v>
      </c>
      <c r="C7" s="6">
        <v>220000</v>
      </c>
      <c r="D7" s="6">
        <f t="shared" si="0"/>
        <v>220000</v>
      </c>
    </row>
    <row r="8" spans="1:4" x14ac:dyDescent="0.3">
      <c r="A8" s="5" t="s">
        <v>308</v>
      </c>
      <c r="B8" s="11">
        <v>8</v>
      </c>
      <c r="C8" s="6">
        <v>25000</v>
      </c>
      <c r="D8" s="6">
        <f t="shared" si="0"/>
        <v>200000</v>
      </c>
    </row>
    <row r="9" spans="1:4" x14ac:dyDescent="0.3">
      <c r="A9" s="7" t="s">
        <v>309</v>
      </c>
      <c r="B9" s="11">
        <v>1</v>
      </c>
      <c r="C9" s="6">
        <v>320000</v>
      </c>
      <c r="D9" s="6">
        <f t="shared" si="0"/>
        <v>320000</v>
      </c>
    </row>
    <row r="10" spans="1:4" ht="28.8" x14ac:dyDescent="0.3">
      <c r="A10" s="5" t="s">
        <v>310</v>
      </c>
      <c r="B10" s="11">
        <v>5</v>
      </c>
      <c r="C10" s="6">
        <v>18000</v>
      </c>
      <c r="D10" s="6">
        <f t="shared" si="0"/>
        <v>90000</v>
      </c>
    </row>
    <row r="11" spans="1:4" x14ac:dyDescent="0.3">
      <c r="A11" s="5" t="s">
        <v>311</v>
      </c>
      <c r="B11" s="11">
        <v>1</v>
      </c>
      <c r="C11" s="6">
        <v>650000</v>
      </c>
      <c r="D11" s="6">
        <f t="shared" si="0"/>
        <v>650000</v>
      </c>
    </row>
    <row r="12" spans="1:4" x14ac:dyDescent="0.3">
      <c r="A12" s="5" t="s">
        <v>312</v>
      </c>
      <c r="B12" s="11">
        <v>1</v>
      </c>
      <c r="C12" s="6">
        <v>950000</v>
      </c>
      <c r="D12" s="6">
        <f t="shared" si="0"/>
        <v>950000</v>
      </c>
    </row>
    <row r="13" spans="1:4" ht="28.8" x14ac:dyDescent="0.3">
      <c r="A13" s="5" t="s">
        <v>313</v>
      </c>
      <c r="B13" s="11">
        <v>1</v>
      </c>
      <c r="C13" s="6">
        <v>4800000</v>
      </c>
      <c r="D13" s="6">
        <f t="shared" si="0"/>
        <v>4800000</v>
      </c>
    </row>
    <row r="14" spans="1:4" x14ac:dyDescent="0.3">
      <c r="A14" s="5" t="s">
        <v>314</v>
      </c>
      <c r="B14" s="11">
        <v>1</v>
      </c>
      <c r="C14" s="6">
        <v>950000</v>
      </c>
      <c r="D14" s="6">
        <f t="shared" si="0"/>
        <v>950000</v>
      </c>
    </row>
    <row r="15" spans="1:4" x14ac:dyDescent="0.3">
      <c r="A15" s="5" t="s">
        <v>315</v>
      </c>
      <c r="B15" s="11">
        <v>1</v>
      </c>
      <c r="C15" s="6">
        <v>2900000</v>
      </c>
      <c r="D15" s="6">
        <f t="shared" si="0"/>
        <v>2900000</v>
      </c>
    </row>
    <row r="16" spans="1:4" ht="28.8" x14ac:dyDescent="0.3">
      <c r="A16" s="5" t="s">
        <v>316</v>
      </c>
      <c r="B16" s="11">
        <v>1</v>
      </c>
      <c r="C16" s="6">
        <v>420000</v>
      </c>
      <c r="D16" s="6">
        <f t="shared" si="0"/>
        <v>420000</v>
      </c>
    </row>
    <row r="17" spans="1:4" ht="28.8" x14ac:dyDescent="0.3">
      <c r="A17" s="5" t="s">
        <v>317</v>
      </c>
      <c r="B17" s="11">
        <v>1</v>
      </c>
      <c r="C17" s="6">
        <v>1450000</v>
      </c>
      <c r="D17" s="6">
        <f t="shared" si="0"/>
        <v>1450000</v>
      </c>
    </row>
    <row r="18" spans="1:4" x14ac:dyDescent="0.3">
      <c r="A18" s="7" t="s">
        <v>318</v>
      </c>
      <c r="B18" s="11">
        <v>3</v>
      </c>
      <c r="C18" s="6">
        <v>30000</v>
      </c>
      <c r="D18" s="6">
        <f t="shared" si="0"/>
        <v>90000</v>
      </c>
    </row>
    <row r="19" spans="1:4" ht="28.8" x14ac:dyDescent="0.3">
      <c r="A19" s="5" t="s">
        <v>319</v>
      </c>
      <c r="B19" s="11">
        <v>1</v>
      </c>
      <c r="C19" s="6">
        <v>280000</v>
      </c>
      <c r="D19" s="6">
        <f t="shared" si="0"/>
        <v>280000</v>
      </c>
    </row>
    <row r="20" spans="1:4" x14ac:dyDescent="0.3">
      <c r="A20" s="5" t="s">
        <v>320</v>
      </c>
      <c r="B20" s="11">
        <v>1</v>
      </c>
      <c r="C20" s="6">
        <v>900000</v>
      </c>
      <c r="D20" s="6">
        <f t="shared" si="0"/>
        <v>900000</v>
      </c>
    </row>
    <row r="21" spans="1:4" x14ac:dyDescent="0.3">
      <c r="A21" s="5" t="s">
        <v>321</v>
      </c>
      <c r="B21" s="11">
        <v>1</v>
      </c>
      <c r="C21" s="6">
        <v>220000</v>
      </c>
      <c r="D21" s="6">
        <f t="shared" si="0"/>
        <v>220000</v>
      </c>
    </row>
    <row r="22" spans="1:4" x14ac:dyDescent="0.3">
      <c r="A22" s="3" t="s">
        <v>322</v>
      </c>
      <c r="B22" s="3"/>
      <c r="C22" s="3"/>
      <c r="D22" s="4">
        <f>SUM(D4:D21)</f>
        <v>22070000</v>
      </c>
    </row>
    <row r="24" spans="1:4" ht="31.95" customHeight="1" x14ac:dyDescent="0.3">
      <c r="A24" s="2" t="s">
        <v>323</v>
      </c>
      <c r="B24" s="2" t="s">
        <v>324</v>
      </c>
      <c r="C24" s="2" t="s">
        <v>325</v>
      </c>
      <c r="D24" s="2" t="s">
        <v>326</v>
      </c>
    </row>
    <row r="25" spans="1:4" x14ac:dyDescent="0.3">
      <c r="A25" s="7" t="s">
        <v>327</v>
      </c>
      <c r="B25" s="11">
        <v>864</v>
      </c>
      <c r="C25" s="6">
        <v>650</v>
      </c>
      <c r="D25" s="17">
        <v>3.6</v>
      </c>
    </row>
    <row r="26" spans="1:4" x14ac:dyDescent="0.3">
      <c r="A26" s="3" t="s">
        <v>328</v>
      </c>
      <c r="B26" s="3"/>
      <c r="C26" s="3"/>
      <c r="D26" s="4">
        <f>B25*C25*D25</f>
        <v>2021760</v>
      </c>
    </row>
    <row r="28" spans="1:4" x14ac:dyDescent="0.3">
      <c r="A28" s="16" t="s">
        <v>329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zoomScale="90" workbookViewId="0"/>
  </sheetViews>
  <sheetFormatPr defaultRowHeight="14.4" x14ac:dyDescent="0.3"/>
  <cols>
    <col min="1" max="1" width="64" customWidth="1"/>
    <col min="2" max="2" width="20" customWidth="1"/>
    <col min="3" max="3" width="36" customWidth="1"/>
  </cols>
  <sheetData>
    <row r="1" spans="1:3" ht="15.6" x14ac:dyDescent="0.3">
      <c r="A1" s="1" t="s">
        <v>330</v>
      </c>
    </row>
    <row r="3" spans="1:3" ht="31.95" customHeight="1" x14ac:dyDescent="0.3">
      <c r="A3" s="2" t="s">
        <v>331</v>
      </c>
      <c r="B3" s="2" t="s">
        <v>33</v>
      </c>
      <c r="C3" s="2" t="s">
        <v>6</v>
      </c>
    </row>
    <row r="4" spans="1:3" x14ac:dyDescent="0.3">
      <c r="A4" s="7" t="s">
        <v>332</v>
      </c>
      <c r="B4" s="6">
        <f>Калькуляция!B4</f>
        <v>586962237.66587532</v>
      </c>
      <c r="C4" s="7" t="s">
        <v>333</v>
      </c>
    </row>
    <row r="5" spans="1:3" x14ac:dyDescent="0.3">
      <c r="A5" s="5" t="s">
        <v>334</v>
      </c>
      <c r="B5" s="6">
        <f>Калькуляция!B8+Калькуляция!B11</f>
        <v>1084555733.1402085</v>
      </c>
      <c r="C5" s="7"/>
    </row>
    <row r="6" spans="1:3" x14ac:dyDescent="0.3">
      <c r="A6" s="5" t="s">
        <v>335</v>
      </c>
      <c r="B6" s="6">
        <f>B5/Исходные!$B$10</f>
        <v>834273640.87708342</v>
      </c>
      <c r="C6" s="7" t="s">
        <v>336</v>
      </c>
    </row>
    <row r="7" spans="1:3" x14ac:dyDescent="0.3">
      <c r="A7" s="5" t="s">
        <v>337</v>
      </c>
      <c r="B7" s="6">
        <f>B4+B6</f>
        <v>1421235878.5429587</v>
      </c>
      <c r="C7" s="7" t="s">
        <v>338</v>
      </c>
    </row>
    <row r="8" spans="1:3" x14ac:dyDescent="0.3">
      <c r="A8" s="7" t="s">
        <v>339</v>
      </c>
      <c r="B8" s="6">
        <f>'АУП и ИТР'!I22*12+Маркетинг!$C$7*12</f>
        <v>199942039.19028342</v>
      </c>
      <c r="C8" s="7" t="s">
        <v>340</v>
      </c>
    </row>
    <row r="9" spans="1:3" x14ac:dyDescent="0.3">
      <c r="A9" s="5" t="s">
        <v>341</v>
      </c>
      <c r="B9" s="6">
        <f>B7+B8</f>
        <v>1621177917.733242</v>
      </c>
      <c r="C9" s="7"/>
    </row>
    <row r="10" spans="1:3" x14ac:dyDescent="0.3">
      <c r="A10" s="5" t="s">
        <v>342</v>
      </c>
      <c r="B10" s="6">
        <f>B9*(1+Исходные!$B$13)</f>
        <v>1864354605.3932283</v>
      </c>
      <c r="C10" s="7" t="s">
        <v>343</v>
      </c>
    </row>
    <row r="11" spans="1:3" x14ac:dyDescent="0.3">
      <c r="A11" s="5" t="s">
        <v>344</v>
      </c>
      <c r="B11" s="6">
        <f>B10-B7</f>
        <v>443118726.85026956</v>
      </c>
      <c r="C11" s="7"/>
    </row>
    <row r="12" spans="1:3" ht="28.8" x14ac:dyDescent="0.3">
      <c r="A12" s="5" t="s">
        <v>345</v>
      </c>
      <c r="B12" s="18">
        <f>B8/B11</f>
        <v>0.45121550292286366</v>
      </c>
      <c r="C12" s="5" t="s">
        <v>346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zoomScale="90" workbookViewId="0"/>
  </sheetViews>
  <sheetFormatPr defaultRowHeight="14.4" x14ac:dyDescent="0.3"/>
  <cols>
    <col min="1" max="1" width="8" customWidth="1"/>
    <col min="2" max="3" width="16" customWidth="1"/>
    <col min="4" max="6" width="18" customWidth="1"/>
    <col min="7" max="7" width="10" customWidth="1"/>
    <col min="8" max="10" width="18" customWidth="1"/>
    <col min="11" max="12" width="8" customWidth="1"/>
  </cols>
  <sheetData>
    <row r="1" spans="1:12" ht="15.6" x14ac:dyDescent="0.3">
      <c r="A1" s="1" t="s">
        <v>347</v>
      </c>
    </row>
    <row r="3" spans="1:12" ht="31.95" customHeight="1" x14ac:dyDescent="0.3">
      <c r="A3" s="2" t="s">
        <v>191</v>
      </c>
      <c r="B3" s="2" t="s">
        <v>348</v>
      </c>
      <c r="C3" s="2" t="s">
        <v>349</v>
      </c>
      <c r="D3" s="2" t="s">
        <v>350</v>
      </c>
      <c r="E3" s="2" t="s">
        <v>351</v>
      </c>
      <c r="F3" s="2" t="s">
        <v>352</v>
      </c>
      <c r="G3" s="2" t="s">
        <v>353</v>
      </c>
      <c r="H3" s="2" t="s">
        <v>354</v>
      </c>
      <c r="I3" s="2" t="s">
        <v>355</v>
      </c>
      <c r="J3" s="2" t="s">
        <v>356</v>
      </c>
      <c r="K3" s="2" t="s">
        <v>357</v>
      </c>
      <c r="L3" s="2" t="s">
        <v>358</v>
      </c>
    </row>
    <row r="4" spans="1:12" x14ac:dyDescent="0.3">
      <c r="A4" s="11">
        <v>2026</v>
      </c>
      <c r="B4" s="6">
        <f>НИОКР!F9</f>
        <v>8846042.0882920362</v>
      </c>
      <c r="C4" s="6">
        <v>0</v>
      </c>
      <c r="D4" s="6">
        <v>0</v>
      </c>
      <c r="E4" s="6">
        <v>0</v>
      </c>
      <c r="F4" s="6">
        <f t="shared" ref="F4:F13" si="0">E4-B4-C4-D4</f>
        <v>-8846042.0882920362</v>
      </c>
      <c r="G4" s="12">
        <f>1/(1+Исходные!$B$14)^(A4-2026)</f>
        <v>1</v>
      </c>
      <c r="H4" s="6">
        <f t="shared" ref="H4:H13" si="1">F4*G4</f>
        <v>-8846042.0882920362</v>
      </c>
      <c r="I4" s="6">
        <f>0+F4</f>
        <v>-8846042.0882920362</v>
      </c>
      <c r="J4" s="6">
        <f>0+H4</f>
        <v>-8846042.0882920362</v>
      </c>
      <c r="K4" s="7"/>
      <c r="L4" s="7"/>
    </row>
    <row r="5" spans="1:12" x14ac:dyDescent="0.3">
      <c r="A5" s="11">
        <v>2027</v>
      </c>
      <c r="B5" s="6">
        <f>НИОКР!G9</f>
        <v>43562825.710576832</v>
      </c>
      <c r="C5" s="6">
        <f>Капзатраты!D22</f>
        <v>22070000</v>
      </c>
      <c r="D5" s="6">
        <f>Калькуляция!C16</f>
        <v>740853752.44705093</v>
      </c>
      <c r="E5" s="6">
        <v>0</v>
      </c>
      <c r="F5" s="6">
        <f t="shared" si="0"/>
        <v>-806486578.15762782</v>
      </c>
      <c r="G5" s="12">
        <f>1/(1+Исходные!$B$14)^(A5-2026)</f>
        <v>0.86956521739130443</v>
      </c>
      <c r="H5" s="6">
        <f t="shared" si="1"/>
        <v>-701292676.65880692</v>
      </c>
      <c r="I5" s="6">
        <f t="shared" ref="I5:I13" si="2">I4+F5</f>
        <v>-815332620.24591982</v>
      </c>
      <c r="J5" s="6">
        <f t="shared" ref="J5:J13" si="3">J4+H5</f>
        <v>-710138718.74709892</v>
      </c>
      <c r="K5" s="11" t="str">
        <f t="shared" ref="K5:K13" si="4">IF(AND(I5&gt;=0,I4&lt;0),A5,"")</f>
        <v/>
      </c>
      <c r="L5" s="11" t="str">
        <f t="shared" ref="L5:L13" si="5">IF(AND(J5&gt;=0,J4&lt;0),A5,"")</f>
        <v/>
      </c>
    </row>
    <row r="6" spans="1:12" x14ac:dyDescent="0.3">
      <c r="A6" s="11">
        <v>2028</v>
      </c>
      <c r="B6" s="6">
        <v>0</v>
      </c>
      <c r="C6" s="6">
        <v>0</v>
      </c>
      <c r="D6" s="6">
        <f>Калькуляция!D16</f>
        <v>839666201.80419135</v>
      </c>
      <c r="E6" s="6">
        <v>0</v>
      </c>
      <c r="F6" s="6">
        <f t="shared" si="0"/>
        <v>-839666201.80419135</v>
      </c>
      <c r="G6" s="12">
        <f>1/(1+Исходные!$B$14)^(A6-2026)</f>
        <v>0.7561436672967865</v>
      </c>
      <c r="H6" s="6">
        <f t="shared" si="1"/>
        <v>-634908281.13738489</v>
      </c>
      <c r="I6" s="6">
        <f t="shared" si="2"/>
        <v>-1654998822.0501113</v>
      </c>
      <c r="J6" s="6">
        <f t="shared" si="3"/>
        <v>-1345046999.8844838</v>
      </c>
      <c r="K6" s="11" t="str">
        <f t="shared" si="4"/>
        <v/>
      </c>
      <c r="L6" s="11" t="str">
        <f t="shared" si="5"/>
        <v/>
      </c>
    </row>
    <row r="7" spans="1:12" x14ac:dyDescent="0.3">
      <c r="A7" s="11">
        <v>2029</v>
      </c>
      <c r="B7" s="6">
        <v>0</v>
      </c>
      <c r="C7" s="6">
        <v>0</v>
      </c>
      <c r="D7" s="6">
        <f>Калькуляция!E16</f>
        <v>640308457.56944406</v>
      </c>
      <c r="E7" s="6">
        <v>0</v>
      </c>
      <c r="F7" s="6">
        <f t="shared" si="0"/>
        <v>-640308457.56944406</v>
      </c>
      <c r="G7" s="12">
        <f>1/(1+Исходные!$B$14)^(A7-2026)</f>
        <v>0.65751623243198831</v>
      </c>
      <c r="H7" s="6">
        <f t="shared" si="1"/>
        <v>-421013204.61539853</v>
      </c>
      <c r="I7" s="6">
        <f t="shared" si="2"/>
        <v>-2295307279.6195555</v>
      </c>
      <c r="J7" s="6">
        <f t="shared" si="3"/>
        <v>-1766060204.4998822</v>
      </c>
      <c r="K7" s="11" t="str">
        <f t="shared" si="4"/>
        <v/>
      </c>
      <c r="L7" s="11" t="str">
        <f t="shared" si="5"/>
        <v/>
      </c>
    </row>
    <row r="8" spans="1:12" x14ac:dyDescent="0.3">
      <c r="A8" s="11">
        <v>2030</v>
      </c>
      <c r="B8" s="6">
        <v>0</v>
      </c>
      <c r="C8" s="6">
        <v>0</v>
      </c>
      <c r="D8" s="6">
        <v>0</v>
      </c>
      <c r="E8" s="6">
        <f>Калькуляция!B18</f>
        <v>2553952673.5937891</v>
      </c>
      <c r="F8" s="6">
        <f t="shared" si="0"/>
        <v>2553952673.5937891</v>
      </c>
      <c r="G8" s="12">
        <f>1/(1+Исходные!$B$14)^(A8-2026)</f>
        <v>0.57175324559303342</v>
      </c>
      <c r="H8" s="6">
        <f t="shared" si="1"/>
        <v>1460230730.2182541</v>
      </c>
      <c r="I8" s="6">
        <f t="shared" si="2"/>
        <v>258645393.97423363</v>
      </c>
      <c r="J8" s="6">
        <f t="shared" si="3"/>
        <v>-305829474.28162813</v>
      </c>
      <c r="K8" s="11">
        <f t="shared" si="4"/>
        <v>2030</v>
      </c>
      <c r="L8" s="11" t="str">
        <f t="shared" si="5"/>
        <v/>
      </c>
    </row>
    <row r="9" spans="1:12" x14ac:dyDescent="0.3">
      <c r="A9" s="11">
        <v>2031</v>
      </c>
      <c r="B9" s="6">
        <v>0</v>
      </c>
      <c r="C9" s="6">
        <v>0</v>
      </c>
      <c r="D9" s="6">
        <f>Безубыточность!B9*(1+Исходные!$B$16)^(A9-2029)</f>
        <v>1821555508.3650711</v>
      </c>
      <c r="E9" s="6">
        <f>Безубыточность!B10*(1+Исходные!$B$16)^(A9-2029)</f>
        <v>2094788834.6198316</v>
      </c>
      <c r="F9" s="6">
        <f t="shared" si="0"/>
        <v>273233326.2547605</v>
      </c>
      <c r="G9" s="12">
        <f>1/(1+Исходные!$B$14)^(A9-2026)</f>
        <v>0.49717673529828987</v>
      </c>
      <c r="H9" s="6">
        <f t="shared" si="1"/>
        <v>135845253.12203434</v>
      </c>
      <c r="I9" s="6">
        <f t="shared" si="2"/>
        <v>531878720.22899413</v>
      </c>
      <c r="J9" s="6">
        <f t="shared" si="3"/>
        <v>-169984221.15959379</v>
      </c>
      <c r="K9" s="11" t="str">
        <f t="shared" si="4"/>
        <v/>
      </c>
      <c r="L9" s="11" t="str">
        <f t="shared" si="5"/>
        <v/>
      </c>
    </row>
    <row r="10" spans="1:12" x14ac:dyDescent="0.3">
      <c r="A10" s="11">
        <v>2032</v>
      </c>
      <c r="B10" s="6">
        <v>0</v>
      </c>
      <c r="C10" s="6">
        <v>0</v>
      </c>
      <c r="D10" s="6">
        <f>Безубыточность!B9*(1+Исходные!$B$16)^(A10-2029)</f>
        <v>1930848838.8669755</v>
      </c>
      <c r="E10" s="6">
        <f>Безубыточность!B10*(1+Исходные!$B$16)^(A10-2029)</f>
        <v>2220476164.697022</v>
      </c>
      <c r="F10" s="6">
        <f t="shared" si="0"/>
        <v>289627325.83004642</v>
      </c>
      <c r="G10" s="12">
        <f>1/(1+Исходные!$B$14)^(A10-2026)</f>
        <v>0.43232759591155645</v>
      </c>
      <c r="H10" s="6">
        <f t="shared" si="1"/>
        <v>125213885.486397</v>
      </c>
      <c r="I10" s="6">
        <f t="shared" si="2"/>
        <v>821506046.05904055</v>
      </c>
      <c r="J10" s="6">
        <f t="shared" si="3"/>
        <v>-44770335.673196793</v>
      </c>
      <c r="K10" s="11" t="str">
        <f t="shared" si="4"/>
        <v/>
      </c>
      <c r="L10" s="11" t="str">
        <f t="shared" si="5"/>
        <v/>
      </c>
    </row>
    <row r="11" spans="1:12" x14ac:dyDescent="0.3">
      <c r="A11" s="11">
        <v>2033</v>
      </c>
      <c r="B11" s="6">
        <v>0</v>
      </c>
      <c r="C11" s="6">
        <v>0</v>
      </c>
      <c r="D11" s="6">
        <f>Безубыточность!B9*(1+Исходные!$B$16)^(A11-2029)</f>
        <v>2046699769.1989939</v>
      </c>
      <c r="E11" s="6">
        <f>Безубыточность!B10*(1+Исходные!$B$16)^(A11-2029)</f>
        <v>2353704734.5788431</v>
      </c>
      <c r="F11" s="6">
        <f t="shared" si="0"/>
        <v>307004965.3798492</v>
      </c>
      <c r="G11" s="12">
        <f>1/(1+Исходные!$B$14)^(A11-2026)</f>
        <v>0.37593703992309269</v>
      </c>
      <c r="H11" s="6">
        <f t="shared" si="1"/>
        <v>115414537.92659205</v>
      </c>
      <c r="I11" s="6">
        <f t="shared" si="2"/>
        <v>1128511011.4388897</v>
      </c>
      <c r="J11" s="6">
        <f t="shared" si="3"/>
        <v>70644202.253395259</v>
      </c>
      <c r="K11" s="11" t="str">
        <f t="shared" si="4"/>
        <v/>
      </c>
      <c r="L11" s="11">
        <f t="shared" si="5"/>
        <v>2033</v>
      </c>
    </row>
    <row r="12" spans="1:12" x14ac:dyDescent="0.3">
      <c r="A12" s="11">
        <v>2034</v>
      </c>
      <c r="B12" s="6">
        <v>0</v>
      </c>
      <c r="C12" s="6">
        <v>0</v>
      </c>
      <c r="D12" s="6">
        <f>Безубыточность!B9*(1+Исходные!$B$16)^(A12-2029)</f>
        <v>2169501755.350934</v>
      </c>
      <c r="E12" s="6">
        <f>Безубыточность!B10*(1+Исходные!$B$16)^(A12-2029)</f>
        <v>2494927018.653574</v>
      </c>
      <c r="F12" s="6">
        <f t="shared" si="0"/>
        <v>325425263.30263996</v>
      </c>
      <c r="G12" s="12">
        <f>1/(1+Исходные!$B$14)^(A12-2026)</f>
        <v>0.32690177384616753</v>
      </c>
      <c r="H12" s="6">
        <f t="shared" si="1"/>
        <v>106382095.82798913</v>
      </c>
      <c r="I12" s="6">
        <f t="shared" si="2"/>
        <v>1453936274.7415297</v>
      </c>
      <c r="J12" s="6">
        <f t="shared" si="3"/>
        <v>177026298.08138439</v>
      </c>
      <c r="K12" s="11" t="str">
        <f t="shared" si="4"/>
        <v/>
      </c>
      <c r="L12" s="11" t="str">
        <f t="shared" si="5"/>
        <v/>
      </c>
    </row>
    <row r="13" spans="1:12" x14ac:dyDescent="0.3">
      <c r="A13" s="11">
        <v>2035</v>
      </c>
      <c r="B13" s="6">
        <v>0</v>
      </c>
      <c r="C13" s="6">
        <v>0</v>
      </c>
      <c r="D13" s="6">
        <f>Безубыточность!B9*(1+Исходные!$B$16)^(A13-2029)</f>
        <v>2299671860.6719899</v>
      </c>
      <c r="E13" s="6">
        <f>Безубыточность!B10*(1+Исходные!$B$16)^(A13-2029)</f>
        <v>2644622639.7727885</v>
      </c>
      <c r="F13" s="6">
        <f t="shared" si="0"/>
        <v>344950779.10079861</v>
      </c>
      <c r="G13" s="12">
        <f>1/(1+Исходные!$B$14)^(A13-2026)</f>
        <v>0.28426241204014574</v>
      </c>
      <c r="H13" s="6">
        <f t="shared" si="1"/>
        <v>98056540.502320513</v>
      </c>
      <c r="I13" s="6">
        <f t="shared" si="2"/>
        <v>1798887053.8423283</v>
      </c>
      <c r="J13" s="6">
        <f t="shared" si="3"/>
        <v>275082838.58370489</v>
      </c>
      <c r="K13" s="11" t="str">
        <f t="shared" si="4"/>
        <v/>
      </c>
      <c r="L13" s="11" t="str">
        <f t="shared" si="5"/>
        <v/>
      </c>
    </row>
    <row r="15" spans="1:12" x14ac:dyDescent="0.3">
      <c r="A15" s="20" t="s">
        <v>359</v>
      </c>
      <c r="B15" s="21"/>
      <c r="C15" s="21"/>
      <c r="D15" s="21"/>
      <c r="E15" s="22"/>
      <c r="F15" s="4">
        <f>SUM(H4:H13)</f>
        <v>275082838.58370489</v>
      </c>
    </row>
    <row r="16" spans="1:12" x14ac:dyDescent="0.3">
      <c r="A16" s="23" t="s">
        <v>360</v>
      </c>
      <c r="B16" s="21"/>
      <c r="C16" s="21"/>
      <c r="D16" s="21"/>
      <c r="E16" s="22"/>
      <c r="F16" s="6">
        <f>-SUMIF(A4:A13,"&lt;2030",H4:H13)</f>
        <v>1766060204.4998822</v>
      </c>
    </row>
    <row r="17" spans="1:6" x14ac:dyDescent="0.3">
      <c r="A17" s="20" t="s">
        <v>361</v>
      </c>
      <c r="B17" s="21"/>
      <c r="C17" s="21"/>
      <c r="D17" s="21"/>
      <c r="E17" s="22"/>
      <c r="F17" s="19">
        <f>1+F15/F16</f>
        <v>1.155760736742043</v>
      </c>
    </row>
    <row r="18" spans="1:6" x14ac:dyDescent="0.3">
      <c r="A18" s="20" t="s">
        <v>362</v>
      </c>
      <c r="B18" s="21"/>
      <c r="C18" s="21"/>
      <c r="D18" s="21"/>
      <c r="E18" s="22"/>
      <c r="F18" s="15">
        <f>IRR(F4:F13)</f>
        <v>0.208048374159433</v>
      </c>
    </row>
    <row r="19" spans="1:6" x14ac:dyDescent="0.3">
      <c r="A19" s="23" t="s">
        <v>363</v>
      </c>
      <c r="B19" s="21"/>
      <c r="C19" s="21"/>
      <c r="D19" s="21"/>
      <c r="E19" s="22"/>
      <c r="F19" s="11">
        <f>MIN(K4:K13)-2026</f>
        <v>4</v>
      </c>
    </row>
    <row r="20" spans="1:6" x14ac:dyDescent="0.3">
      <c r="A20" s="20" t="s">
        <v>364</v>
      </c>
      <c r="B20" s="21"/>
      <c r="C20" s="21"/>
      <c r="D20" s="21"/>
      <c r="E20" s="22"/>
      <c r="F20" s="13">
        <f>MIN(L4:L13)-2026</f>
        <v>7</v>
      </c>
    </row>
  </sheetData>
  <mergeCells count="6">
    <mergeCell ref="A20:E20"/>
    <mergeCell ref="A16:E16"/>
    <mergeCell ref="A15:E15"/>
    <mergeCell ref="A19:E19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Калькуляция</vt:lpstr>
      <vt:lpstr>Исходные</vt:lpstr>
      <vt:lpstr>ДЗП</vt:lpstr>
      <vt:lpstr>Взносы</vt:lpstr>
      <vt:lpstr>Материалы</vt:lpstr>
      <vt:lpstr>ПКИ</vt:lpstr>
      <vt:lpstr>Трудоёмкость</vt:lpstr>
      <vt:lpstr>ФОТ</vt:lpstr>
      <vt:lpstr>АУП и ИТР</vt:lpstr>
      <vt:lpstr>Обучение</vt:lpstr>
      <vt:lpstr>Маркетинг</vt:lpstr>
      <vt:lpstr>НИОКР</vt:lpstr>
      <vt:lpstr>Капзатраты</vt:lpstr>
      <vt:lpstr>Безубыточность</vt:lpstr>
      <vt:lpstr>Окупаемость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Приложение Б. Экономика судна «Волжский Горизонт»</dc:title>
  <dc:creator>Без границ</dc:creator>
  <cp:lastModifiedBy>User</cp:lastModifiedBy>
  <dcterms:created xsi:type="dcterms:W3CDTF">2026-09-24T08:35:05Z</dcterms:created>
  <dcterms:modified xsi:type="dcterms:W3CDTF">2026-09-24T08:35:08Z</dcterms:modified>
</cp:coreProperties>
</file>