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a\Documents\УЖЦ\Подготовка к УЖЦ\"/>
    </mc:Choice>
  </mc:AlternateContent>
  <xr:revisionPtr revIDLastSave="0" documentId="13_ncr:1_{BD1C7B29-23DA-483B-AED5-0A78AA4B625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Оглавление" sheetId="10" r:id="rId1"/>
    <sheet name="Себестоимость проекта" sheetId="7" r:id="rId2"/>
    <sheet name="Материалы " sheetId="11" r:id="rId3"/>
    <sheet name="ПКИ" sheetId="17" r:id="rId4"/>
    <sheet name="Расчёт трудоемкости" sheetId="2" r:id="rId5"/>
    <sheet name="ФОТ_ОПР_расчёт" sheetId="1" r:id="rId6"/>
    <sheet name="ДЗП_расчёт" sheetId="5" r:id="rId7"/>
    <sheet name="Соц_страх_расчёт" sheetId="6" r:id="rId8"/>
    <sheet name="АУП_ИТР_расчёт" sheetId="13" r:id="rId9"/>
    <sheet name="Обязательное обучение" sheetId="16" r:id="rId10"/>
    <sheet name="Маркетинг" sheetId="14" r:id="rId11"/>
    <sheet name="ОПР_Расчет" sheetId="8" r:id="rId12"/>
    <sheet name="ОХР_Расчет" sheetId="9" r:id="rId13"/>
    <sheet name="Точка безубыточности" sheetId="12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1234567" localSheetId="8">#REF!</definedName>
    <definedName name="_1234567" localSheetId="1">#REF!</definedName>
    <definedName name="_1234567">#REF!</definedName>
    <definedName name="_ftn1" localSheetId="1">'Себестоимость проекта'!$B$25</definedName>
    <definedName name="_ftnref1" localSheetId="1">'Себестоимость проекта'!#REF!</definedName>
    <definedName name="CY">[1]Список!$D$2</definedName>
    <definedName name="hjjtrasgag" localSheetId="1">#REF!</definedName>
    <definedName name="hjjtrasgag">#REF!</definedName>
    <definedName name="solver_adj" localSheetId="5" hidden="1">ФОТ_ОПР_расчёт!$C$8,ФОТ_ОПР_расчёт!$C$19,ФОТ_ОПР_расчёт!$C$10</definedName>
    <definedName name="solver_cvg" localSheetId="5" hidden="1">0.0001</definedName>
    <definedName name="solver_drv" localSheetId="5" hidden="1">1</definedName>
    <definedName name="solver_eng" localSheetId="5" hidden="1">2</definedName>
    <definedName name="solver_est" localSheetId="5" hidden="1">1</definedName>
    <definedName name="solver_itr" localSheetId="5" hidden="1">2147483647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0</definedName>
    <definedName name="solver_nwt" localSheetId="5" hidden="1">1</definedName>
    <definedName name="solver_opt" localSheetId="5" hidden="1">ФОТ_ОПР_расчёт!$C$32</definedName>
    <definedName name="solver_pre" localSheetId="5" hidden="1">0.000001</definedName>
    <definedName name="solver_rbv" localSheetId="5" hidden="1">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3</definedName>
    <definedName name="solver_val" localSheetId="5" hidden="1">87187</definedName>
    <definedName name="solver_ver" localSheetId="5" hidden="1">3</definedName>
    <definedName name="TB11B" localSheetId="1">#REF!</definedName>
    <definedName name="TB11B">#REF!</definedName>
    <definedName name="TR10B" localSheetId="1">#REF!</definedName>
    <definedName name="TR10B">#REF!</definedName>
    <definedName name="TR10EXP" localSheetId="1">#REF!</definedName>
    <definedName name="TR10EXP">#REF!</definedName>
    <definedName name="TR10PSZ" localSheetId="1">#REF!</definedName>
    <definedName name="TR10PSZ">#REF!</definedName>
    <definedName name="TR10S" localSheetId="1">#REF!</definedName>
    <definedName name="TR10S">#REF!</definedName>
    <definedName name="TR10ST" localSheetId="1">#REF!</definedName>
    <definedName name="TR10ST">#REF!</definedName>
    <definedName name="TR10Y" localSheetId="1">#REF!</definedName>
    <definedName name="TR10Y">#REF!</definedName>
    <definedName name="TR11B" localSheetId="1">#REF!</definedName>
    <definedName name="TR11B">#REF!</definedName>
    <definedName name="TR11PSZ" localSheetId="1">#REF!</definedName>
    <definedName name="TR11PSZ">#REF!</definedName>
    <definedName name="TR11S" localSheetId="1">#REF!</definedName>
    <definedName name="TR11S">#REF!</definedName>
    <definedName name="TR11ST" localSheetId="1">#REF!</definedName>
    <definedName name="TR11ST">#REF!</definedName>
    <definedName name="TR11Y" localSheetId="1">#REF!</definedName>
    <definedName name="TR11Y">#REF!</definedName>
    <definedName name="TR12B" localSheetId="1">#REF!</definedName>
    <definedName name="TR12B">#REF!</definedName>
    <definedName name="TR12EXP" localSheetId="1">#REF!</definedName>
    <definedName name="TR12EXP">#REF!</definedName>
    <definedName name="TR12PSY">#REF!</definedName>
    <definedName name="TR12PSZ" localSheetId="1">#REF!</definedName>
    <definedName name="TR12PSZ">#REF!</definedName>
    <definedName name="TR12S" localSheetId="1">#REF!</definedName>
    <definedName name="TR12S">#REF!</definedName>
    <definedName name="TR12ST" localSheetId="1">#REF!</definedName>
    <definedName name="TR12ST">#REF!</definedName>
    <definedName name="TR12Y" localSheetId="1">#REF!</definedName>
    <definedName name="TR12Y">#REF!</definedName>
    <definedName name="TR15B" localSheetId="1">#REF!</definedName>
    <definedName name="TR15B">#REF!</definedName>
    <definedName name="TR15EXP" localSheetId="1">#REF!</definedName>
    <definedName name="TR15EXP">#REF!</definedName>
    <definedName name="TR15PSZ" localSheetId="1">#REF!</definedName>
    <definedName name="TR15PSZ">#REF!</definedName>
    <definedName name="TR15S" localSheetId="1">#REF!</definedName>
    <definedName name="TR15S">#REF!</definedName>
    <definedName name="TR15ST" localSheetId="1">#REF!</definedName>
    <definedName name="TR15ST">#REF!</definedName>
    <definedName name="TR15Y" localSheetId="1">#REF!</definedName>
    <definedName name="TR15Y">#REF!</definedName>
    <definedName name="TR1EXP" localSheetId="1">#REF!</definedName>
    <definedName name="TR1EXP">#REF!</definedName>
    <definedName name="TR20B" localSheetId="1">#REF!</definedName>
    <definedName name="TR20B">#REF!</definedName>
    <definedName name="TR20EXP" localSheetId="1">#REF!</definedName>
    <definedName name="TR20EXP">#REF!</definedName>
    <definedName name="TR20PSZ" localSheetId="1">#REF!</definedName>
    <definedName name="TR20PSZ">#REF!</definedName>
    <definedName name="TR20S" localSheetId="1">#REF!</definedName>
    <definedName name="TR20S">#REF!</definedName>
    <definedName name="TR20ST" localSheetId="1">#REF!</definedName>
    <definedName name="TR20ST">#REF!</definedName>
    <definedName name="TR20Y" localSheetId="1">#REF!</definedName>
    <definedName name="TR20Y">#REF!</definedName>
    <definedName name="TR21Y" localSheetId="1">#REF!</definedName>
    <definedName name="TR21Y">#REF!</definedName>
    <definedName name="TR23B" localSheetId="1">#REF!</definedName>
    <definedName name="TR23B">#REF!</definedName>
    <definedName name="TR23EXP" localSheetId="1">#REF!</definedName>
    <definedName name="TR23EXP">#REF!</definedName>
    <definedName name="TR23PSZ" localSheetId="1">#REF!</definedName>
    <definedName name="TR23PSZ">#REF!</definedName>
    <definedName name="TR23S" localSheetId="1">#REF!</definedName>
    <definedName name="TR23S">#REF!</definedName>
    <definedName name="TR23ST" localSheetId="1">#REF!</definedName>
    <definedName name="TR23ST">#REF!</definedName>
    <definedName name="TR23Y" localSheetId="1">#REF!</definedName>
    <definedName name="TR23Y">#REF!</definedName>
    <definedName name="TR8B" localSheetId="1">#REF!</definedName>
    <definedName name="TR8B">#REF!</definedName>
    <definedName name="TR8EXP" localSheetId="1">#REF!</definedName>
    <definedName name="TR8EXP">#REF!</definedName>
    <definedName name="TR8PSZ" localSheetId="1">#REF!</definedName>
    <definedName name="TR8PSZ">#REF!</definedName>
    <definedName name="TR8S" localSheetId="1">#REF!</definedName>
    <definedName name="TR8S">#REF!</definedName>
    <definedName name="TR8ST" localSheetId="1">#REF!</definedName>
    <definedName name="TR8ST">#REF!</definedName>
    <definedName name="TR8Y" localSheetId="1">#REF!</definedName>
    <definedName name="TR8Y">#REF!</definedName>
    <definedName name="TR9B" localSheetId="1">#REF!</definedName>
    <definedName name="TR9B">#REF!</definedName>
    <definedName name="TR9EXP" localSheetId="1">#REF!</definedName>
    <definedName name="TR9EXP">#REF!</definedName>
    <definedName name="TR9PSZ" localSheetId="1">#REF!</definedName>
    <definedName name="TR9PSZ">#REF!</definedName>
    <definedName name="TR9S" localSheetId="1">#REF!</definedName>
    <definedName name="TR9S">#REF!</definedName>
    <definedName name="TR9ST" localSheetId="1">#REF!</definedName>
    <definedName name="TR9ST">#REF!</definedName>
    <definedName name="TR9Y" localSheetId="1">#REF!</definedName>
    <definedName name="TR9Y">#REF!</definedName>
    <definedName name="TRUD1" localSheetId="1">#REF!</definedName>
    <definedName name="TRUD1">#REF!</definedName>
    <definedName name="TRUD1_EXP" localSheetId="1">#REF!</definedName>
    <definedName name="TRUD1_EXP">#REF!</definedName>
    <definedName name="TS10B">#REF!</definedName>
    <definedName name="АБПСМ_РОССЫПЬ">[2]Россыпь!$X$9:$X$1125</definedName>
    <definedName name="БИУ">[2]Модули!$D$9:$D$1125</definedName>
    <definedName name="БКН220">[2]Модули!$BM$9:$BM$1125</definedName>
    <definedName name="БКН220А">[2]Модули!$BN$9:$BN$1125</definedName>
    <definedName name="БКН27_1">[2]Модули!$BL$9:$BL$1125</definedName>
    <definedName name="БКН27_2">[2]Модули!$BA$9:$BA$1125</definedName>
    <definedName name="БКН27_3">[2]Модули!$BB$9:$BB$1125</definedName>
    <definedName name="ВХП_РОССЫПЬ">[2]Россыпь!$D$9:$D$1125</definedName>
    <definedName name="ДВИ790М_РОССЫПЬ">[2]Россыпь!$Y$9:$Y$1125</definedName>
    <definedName name="ДЗП" localSheetId="1">#REF!</definedName>
    <definedName name="ДЗП">#REF!</definedName>
    <definedName name="ДК">[2]Модули!$DQ$9:$DQ$1125</definedName>
    <definedName name="Жгут_ТЧ_ДВИ">[2]Модули!$EA$9:$EA$1125</definedName>
    <definedName name="ипи" localSheetId="1">#REF!</definedName>
    <definedName name="ипи">#REF!</definedName>
    <definedName name="ИЭСВ_РОССЫПЬ">[2]Россыпь!$AF$9:$AF$1125</definedName>
    <definedName name="кекеампр" localSheetId="1">#REF!</definedName>
    <definedName name="кекеампр">#REF!</definedName>
    <definedName name="КПА_СЕВ_Б_РОССЫПЬ">[2]Россыпь!$AI$9:$AI$1125</definedName>
    <definedName name="МАД1">[2]Модули!$AY$9:$AY$1125</definedName>
    <definedName name="МАД2">[2]Модули!$BW$9:$BW$1125</definedName>
    <definedName name="МВП">[2]Модули!$DC$9:$DC$1125</definedName>
    <definedName name="МГ">[2]Модули!$BO$9:$BO$1125</definedName>
    <definedName name="МД1">[2]Модули!$AX$9:$AX$1125</definedName>
    <definedName name="МД2">[2]Модули!$CV$9:$CV$1125</definedName>
    <definedName name="МДВ">[2]Модули!$BZ$9:$BZ$1125</definedName>
    <definedName name="МДВ1">[2]Модули!$CB$9:$CB$1125</definedName>
    <definedName name="МДВ2">[2]Модули!$CU$9:$CU$1125</definedName>
    <definedName name="МДК">[2]Модули!$CX$9:$CX$1125</definedName>
    <definedName name="МЗУ">[2]Модули!$R$9:$R$1125</definedName>
    <definedName name="МИ_ЧКС_М">[2]Модули!$AS$9:$AS$1125</definedName>
    <definedName name="МИК_ЧЖ">[2]Модули!$G$9:$G$1125</definedName>
    <definedName name="МИК_ЧП">[2]Модули!$H$9:$H$1125</definedName>
    <definedName name="МИСВ">[2]Модули!$CA$9:$CA$1125</definedName>
    <definedName name="МИУ1">[2]Модули!$CC$9:$CC$1125</definedName>
    <definedName name="МИУ3">[2]Модули!$CS$9:$CS$1125</definedName>
    <definedName name="МК1_ПК">[2]Модули!$AN$9:$AN$1125</definedName>
    <definedName name="МК1_РК">[2]Модули!$AO$9:$AO$1125</definedName>
    <definedName name="МКА_М_РОССЫПЬ">[2]Россыпь!$E$9:$E$1125</definedName>
    <definedName name="МКП2">[2]Модули!$BP$9:$BP$1125</definedName>
    <definedName name="МКП3">[2]Модули!$AP$9:$AP$1125</definedName>
    <definedName name="МКР">[2]Модули!$BH$9:$BH$1125</definedName>
    <definedName name="МКР_1014">[2]Модули!$DE$9:$DE$1125</definedName>
    <definedName name="МКр_ЦХП">[2]Модули!$AG$9:$AG$1125</definedName>
    <definedName name="МКр_ЧЖ">[2]Модули!$K$9:$K$1125</definedName>
    <definedName name="МКр_ЧКС_М">[2]Модули!$DO$9:$DO$1125</definedName>
    <definedName name="МКр_ЧП">[2]Модули!$L$9:$L$1125</definedName>
    <definedName name="МКР1">[2]Модули!$BI$9:$BI$1125</definedName>
    <definedName name="МКС1">[2]Модули!$BU$9:$BU$1125</definedName>
    <definedName name="МКУ">[2]Модули!$AR$9:$AR$1125</definedName>
    <definedName name="МКФ1">[2]Модули!$CD$9:$CD$1125</definedName>
    <definedName name="МКЧ">[2]Модули!$M$9:$M$1125</definedName>
    <definedName name="МЛК">[2]Модули!$AH$9:$AH$1125</definedName>
    <definedName name="МЛК1">[2]Модули!$EC$9:$EC$1125</definedName>
    <definedName name="МЛК2">[2]Модули!$DM$9:$DM$1125</definedName>
    <definedName name="МЛК3">[2]Модули!$CW$9:$CW$1125</definedName>
    <definedName name="МОГ">[2]Модули!$V$9:$V$1125</definedName>
    <definedName name="МОГ1">[2]Модули!$W$9:$W$1125</definedName>
    <definedName name="МОГ2">[2]Модули!$CO$9:$CO$1125</definedName>
    <definedName name="МП10">[2]Модули!$BS$9:$BS$1125</definedName>
    <definedName name="МП2">[2]Модули!$AA$9:$AA$1125</definedName>
    <definedName name="МП3">[2]Модули!$Z$9:$Z$1125</definedName>
    <definedName name="МП4">[2]Модули!$F$9:$F$1125</definedName>
    <definedName name="МП4_01">[2]Модули!$I$9:$I$1125</definedName>
    <definedName name="МП6">[2]Модули!$AQ$9:$AQ$1125</definedName>
    <definedName name="МП7_01">[2]Модули!$AU$9:$AU$1125</definedName>
    <definedName name="МП7_02">[2]Модули!$AV$9:$AV$1125</definedName>
    <definedName name="МП8">[2]Модули!$BQ$9:$BQ$1125</definedName>
    <definedName name="МП9">[2]Модули!$BR$9:$BR$1125</definedName>
    <definedName name="МПИ1">[2]Модули!$DZ$9:$DZ$1125</definedName>
    <definedName name="МПИ2">[2]Модули!$EB$9:$EB$1125</definedName>
    <definedName name="МПИ3">[2]Модули!$CP$9:$CP$1125</definedName>
    <definedName name="МПИ3_01">[2]Модули!$CY$9:$CY$1125</definedName>
    <definedName name="МПИ4">[2]Модули!$DL$9:$DL$1125</definedName>
    <definedName name="МПП">[2]Модули!$E$9:$E$1125</definedName>
    <definedName name="МПП1">[2]Модули!$AK$9:$AK$1125</definedName>
    <definedName name="МПП1_01">[2]Модули!$AL$9:$AL$1125</definedName>
    <definedName name="МС_М">[2]Модули!$CZ$9:$CZ$1125</definedName>
    <definedName name="МС_СЭР">[2]Модули!$N$9:$N$1125</definedName>
    <definedName name="МС_СЭР_К">[2]Модули!$AW$9:$AW$1125</definedName>
    <definedName name="МСГ">[2]Модули!$CN$9:$CN$1125</definedName>
    <definedName name="МСГ_01">[2]Модули!$CK$9:$CK$1125</definedName>
    <definedName name="МСК">[2]Модули!$DD$9:$DD$1125</definedName>
    <definedName name="МСК_01">[2]Модули!$DB$9:$DB$1125</definedName>
    <definedName name="МСУ">[2]Модули!$DG$9:$DG$1125</definedName>
    <definedName name="МСЧ">[2]Модули!$BV$9:$BV$1125</definedName>
    <definedName name="МТ">[2]Модули!$DH$9:$DH$1125</definedName>
    <definedName name="МУ">[2]Модули!$CJ$9:$CJ$1125</definedName>
    <definedName name="МУ_01">[2]Модули!$CI$9:$CI$1125</definedName>
    <definedName name="МУК">[2]Модули!$AI$9:$AI$1125</definedName>
    <definedName name="МУП">[2]Модули!$X$9:$X$1125</definedName>
    <definedName name="МУС1_1">[2]Модули!$AE$9:$AE$1125</definedName>
    <definedName name="МУС5_1">[2]Модули!$AF$9:$AF$1125</definedName>
    <definedName name="МФС">[2]Модули!$CE$9:$CE$1125</definedName>
    <definedName name="МЦРПУ">[2]Модули!$DW$9:$DW$1125</definedName>
    <definedName name="МЦС2">[2]Модули!$AJ$9:$AJ$1125</definedName>
    <definedName name="МЦС5">[2]Модули!$CH$9:$CH$1125</definedName>
    <definedName name="МЦУ">[2]Модули!$DF$9:$DF$1125</definedName>
    <definedName name="МШВ">[2]Модули!$Y$9:$Y$1125</definedName>
    <definedName name="МШВ1">[2]Модули!$DY$9:$DY$1125</definedName>
    <definedName name="_xlnm.Print_Area" localSheetId="1">'Себестоимость проекта'!$A$1:$F$46</definedName>
    <definedName name="опр" localSheetId="1">#REF!</definedName>
    <definedName name="опр">#REF!</definedName>
    <definedName name="охр" localSheetId="1">#REF!</definedName>
    <definedName name="охр">#REF!</definedName>
    <definedName name="ПИ1">[2]Модули!$DX$9:$DX$1125</definedName>
    <definedName name="ПК_РОССЫПЬ">[2]Россыпь!$O$9:$O$1125</definedName>
    <definedName name="ПК2_РОССЫПЬ">[2]Россыпь!$P$9:$P$1125</definedName>
    <definedName name="про" localSheetId="1">#REF!</definedName>
    <definedName name="про">#REF!</definedName>
    <definedName name="РК_РОССЫПЬ">[2]Россыпь!$N$9:$N$1125</definedName>
    <definedName name="С_021_05_45_70_РОССЫПЬ">[2]Россыпь!$AA$9:$AA$1125</definedName>
    <definedName name="С_021_05_РОССЫПЬ">[2]Россыпь!$Z$9:$Z$1125</definedName>
    <definedName name="СЕВ_ТЧ_РОССЫПЬ">[2]Россыпь!$AH$9:$AH$1125</definedName>
    <definedName name="соц">'[3]Ф 2д (эт.1)'!$G$34</definedName>
    <definedName name="СУММ" localSheetId="1">#REF!</definedName>
    <definedName name="СУММ">#REF!</definedName>
    <definedName name="СЭР_КМ_РОССЫПЬ">[2]Россыпь!$G$9:$G$1125</definedName>
    <definedName name="СЭР_М_РОССЫПЬ">[2]Россыпь!$AE$9:$AE$1125</definedName>
    <definedName name="СЭР_РОССЫПЬ">[2]Россыпь!$AG$9:$AG$1125</definedName>
    <definedName name="Т22" localSheetId="1">#REF!</definedName>
    <definedName name="Т22">#REF!</definedName>
    <definedName name="тв12в" localSheetId="1">#REF!</definedName>
    <definedName name="тв12в">#REF!</definedName>
    <definedName name="тр456" localSheetId="1">#REF!</definedName>
    <definedName name="тр456">#REF!</definedName>
    <definedName name="Ф4.1">#REF!</definedName>
    <definedName name="Ф4.1_2">#REF!</definedName>
    <definedName name="ФСС1_РОССЫПЬ">[2]Россыпь!$H$9:$H$1125</definedName>
    <definedName name="ФСЧ_РОССЫПЬ">[2]Россыпь!$W$9:$W$1125</definedName>
    <definedName name="ФСЧ1_РОССЫПЬ">[2]Россыпь!$C$9:$C$1125</definedName>
    <definedName name="ЦХП_01_РОССЫПЬ">[2]Россыпь!$R$9:$R$1125</definedName>
    <definedName name="ЦХП_РОССЫПЬ">[2]Россыпь!$Q$9:$Q$1125</definedName>
    <definedName name="ЦХП_СЧ_РОССЫПЬ">[2]Россыпь!$S$9:$S$1125</definedName>
    <definedName name="Ч1_1014_РОССЫПЬ">[2]Россыпь!$L$9:$L$1125</definedName>
    <definedName name="челчас">'[3]Ф 2д (эт.1)'!$G$32</definedName>
    <definedName name="ЧЖ_РОССЫПЬ">[2]Россыпь!$AB$9:$AB$1125</definedName>
    <definedName name="ЧКС_М_РОССЫПЬ">[2]Россыпь!$F$9:$F$1125</definedName>
    <definedName name="ЧП_РОССЫПЬ">[2]Россыпь!$AC$9:$AC$1125</definedName>
    <definedName name="ЩП_01_И_ЩП_02_РОССЫПЬ">[2]Россыпь!$J$9:$J$1125</definedName>
    <definedName name="ЩП_И_ЩП_03_РОССЫПЬ">[2]Россыпь!$I$9:$I$1125</definedName>
    <definedName name="ЩП_СЧ_РОССЫПЬ">[2]Россыпь!$K$9:$K$1125</definedName>
    <definedName name="юбь" localSheetId="1">#REF!</definedName>
    <definedName name="юбь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7" l="1"/>
  <c r="F19" i="7"/>
  <c r="E19" i="7"/>
  <c r="E9" i="7"/>
  <c r="D9" i="17"/>
  <c r="C27" i="7"/>
  <c r="G27" i="7"/>
  <c r="F27" i="7"/>
  <c r="E27" i="7"/>
  <c r="E8" i="7"/>
  <c r="E21" i="11"/>
  <c r="D15" i="11"/>
  <c r="D20" i="11"/>
  <c r="D19" i="11"/>
  <c r="D18" i="11"/>
  <c r="D17" i="11"/>
  <c r="D16" i="11"/>
  <c r="D14" i="11"/>
  <c r="D13" i="11"/>
  <c r="D12" i="11"/>
  <c r="D11" i="11"/>
  <c r="D10" i="11"/>
  <c r="D8" i="11"/>
  <c r="D9" i="11"/>
  <c r="D7" i="11"/>
  <c r="D6" i="11"/>
  <c r="D5" i="11"/>
  <c r="E10" i="7" l="1"/>
  <c r="C10" i="7" s="1"/>
  <c r="E20" i="11" l="1"/>
  <c r="E19" i="11"/>
  <c r="E18" i="11"/>
  <c r="E17" i="11"/>
  <c r="E16" i="11"/>
  <c r="E15" i="11"/>
  <c r="E14" i="11"/>
  <c r="E13" i="11"/>
  <c r="E12" i="11"/>
  <c r="C6" i="14" l="1"/>
  <c r="F15" i="16"/>
  <c r="D15" i="16"/>
  <c r="F4" i="16"/>
  <c r="F14" i="16"/>
  <c r="F13" i="16"/>
  <c r="F12" i="16"/>
  <c r="D14" i="16"/>
  <c r="D13" i="16"/>
  <c r="D12" i="16"/>
  <c r="D11" i="16"/>
  <c r="D10" i="16"/>
  <c r="D9" i="16"/>
  <c r="D8" i="16"/>
  <c r="D7" i="16"/>
  <c r="D6" i="16"/>
  <c r="D5" i="16"/>
  <c r="D4" i="16"/>
  <c r="F11" i="16"/>
  <c r="F10" i="16"/>
  <c r="F9" i="16"/>
  <c r="F8" i="16"/>
  <c r="F7" i="16"/>
  <c r="F6" i="16"/>
  <c r="F5" i="16"/>
  <c r="J13" i="13" l="1"/>
  <c r="J14" i="13"/>
  <c r="J15" i="13"/>
  <c r="J22" i="13" s="1"/>
  <c r="J16" i="13"/>
  <c r="J17" i="13"/>
  <c r="J18" i="13"/>
  <c r="J19" i="13"/>
  <c r="J20" i="13"/>
  <c r="J21" i="13"/>
  <c r="J12" i="13"/>
  <c r="I13" i="13"/>
  <c r="I14" i="13"/>
  <c r="I15" i="13"/>
  <c r="I16" i="13"/>
  <c r="I17" i="13"/>
  <c r="I18" i="13"/>
  <c r="I19" i="13"/>
  <c r="I20" i="13"/>
  <c r="I21" i="13"/>
  <c r="I12" i="13"/>
  <c r="I2" i="13"/>
  <c r="I10" i="13" s="1"/>
  <c r="H13" i="13"/>
  <c r="H14" i="13"/>
  <c r="H22" i="13" s="1"/>
  <c r="H15" i="13"/>
  <c r="H16" i="13"/>
  <c r="H17" i="13"/>
  <c r="H18" i="13"/>
  <c r="H19" i="13"/>
  <c r="H20" i="13"/>
  <c r="H21" i="13"/>
  <c r="H12" i="13"/>
  <c r="H2" i="13"/>
  <c r="H10" i="13" s="1"/>
  <c r="G22" i="13"/>
  <c r="J3" i="13"/>
  <c r="J4" i="13"/>
  <c r="J5" i="13"/>
  <c r="J6" i="13"/>
  <c r="J7" i="13"/>
  <c r="J8" i="13"/>
  <c r="J9" i="13"/>
  <c r="I3" i="13"/>
  <c r="I4" i="13"/>
  <c r="I5" i="13"/>
  <c r="I6" i="13"/>
  <c r="I7" i="13"/>
  <c r="I8" i="13"/>
  <c r="I9" i="13"/>
  <c r="G10" i="13"/>
  <c r="H3" i="13"/>
  <c r="H4" i="13"/>
  <c r="H5" i="13"/>
  <c r="H6" i="13"/>
  <c r="H7" i="13"/>
  <c r="H8" i="13"/>
  <c r="H9" i="13"/>
  <c r="G14" i="13"/>
  <c r="G15" i="13"/>
  <c r="G18" i="13"/>
  <c r="G19" i="13"/>
  <c r="F12" i="13"/>
  <c r="G12" i="13" s="1"/>
  <c r="G4" i="13"/>
  <c r="G5" i="13"/>
  <c r="G8" i="13"/>
  <c r="G9" i="13"/>
  <c r="E22" i="13"/>
  <c r="B22" i="13"/>
  <c r="F13" i="13"/>
  <c r="G13" i="13" s="1"/>
  <c r="F14" i="13"/>
  <c r="F15" i="13"/>
  <c r="F16" i="13"/>
  <c r="G16" i="13" s="1"/>
  <c r="F17" i="13"/>
  <c r="G17" i="13" s="1"/>
  <c r="F18" i="13"/>
  <c r="F19" i="13"/>
  <c r="F20" i="13"/>
  <c r="G20" i="13" s="1"/>
  <c r="F21" i="13"/>
  <c r="G21" i="13" s="1"/>
  <c r="F3" i="13"/>
  <c r="G3" i="13" s="1"/>
  <c r="F4" i="13"/>
  <c r="F5" i="13"/>
  <c r="F6" i="13"/>
  <c r="G6" i="13" s="1"/>
  <c r="F7" i="13"/>
  <c r="G7" i="13" s="1"/>
  <c r="F8" i="13"/>
  <c r="F9" i="13"/>
  <c r="F2" i="13"/>
  <c r="G2" i="13" s="1"/>
  <c r="E24" i="1"/>
  <c r="E25" i="1"/>
  <c r="E23" i="1"/>
  <c r="E14" i="1"/>
  <c r="E15" i="1"/>
  <c r="E16" i="1"/>
  <c r="E17" i="1"/>
  <c r="E18" i="1"/>
  <c r="E19" i="1"/>
  <c r="E20" i="1"/>
  <c r="E13" i="1"/>
  <c r="E9" i="1"/>
  <c r="E10" i="1"/>
  <c r="E8" i="1"/>
  <c r="B10" i="5"/>
  <c r="C22" i="13"/>
  <c r="E10" i="13"/>
  <c r="C10" i="13"/>
  <c r="B10" i="13"/>
  <c r="I22" i="13" l="1"/>
  <c r="J2" i="13"/>
  <c r="J10" i="13" s="1"/>
  <c r="J23" i="13" s="1"/>
  <c r="J27" i="1" l="1"/>
  <c r="L27" i="1"/>
  <c r="J26" i="1"/>
  <c r="L26" i="1"/>
  <c r="G24" i="1"/>
  <c r="G25" i="1"/>
  <c r="G23" i="1"/>
  <c r="C25" i="1"/>
  <c r="C24" i="1"/>
  <c r="C23" i="1"/>
  <c r="C20" i="1"/>
  <c r="C19" i="1"/>
  <c r="C17" i="1"/>
  <c r="C15" i="1"/>
  <c r="C13" i="1"/>
  <c r="B24" i="1" l="1"/>
  <c r="D24" i="1" s="1"/>
  <c r="F24" i="1" s="1"/>
  <c r="H24" i="1" s="1"/>
  <c r="B25" i="1"/>
  <c r="D25" i="1" s="1"/>
  <c r="F25" i="1" s="1"/>
  <c r="H25" i="1" s="1"/>
  <c r="B23" i="1"/>
  <c r="J21" i="1"/>
  <c r="L21" i="1"/>
  <c r="G13" i="1"/>
  <c r="G14" i="1"/>
  <c r="G15" i="1"/>
  <c r="G16" i="1"/>
  <c r="G17" i="1"/>
  <c r="G18" i="1"/>
  <c r="G8" i="1"/>
  <c r="C18" i="1"/>
  <c r="C14" i="1"/>
  <c r="C16" i="1" s="1"/>
  <c r="D23" i="1" l="1"/>
  <c r="B26" i="1"/>
  <c r="B14" i="1"/>
  <c r="D14" i="1" s="1"/>
  <c r="B15" i="1"/>
  <c r="D15" i="1" s="1"/>
  <c r="B16" i="1"/>
  <c r="D16" i="1" s="1"/>
  <c r="B17" i="1"/>
  <c r="D17" i="1" s="1"/>
  <c r="B18" i="1"/>
  <c r="D18" i="1" s="1"/>
  <c r="B19" i="1"/>
  <c r="B20" i="1"/>
  <c r="B13" i="1"/>
  <c r="J11" i="1"/>
  <c r="L11" i="1"/>
  <c r="B9" i="1"/>
  <c r="B10" i="1"/>
  <c r="B8" i="1"/>
  <c r="D15" i="2"/>
  <c r="D13" i="2"/>
  <c r="D12" i="2"/>
  <c r="D11" i="2"/>
  <c r="D10" i="2"/>
  <c r="D8" i="2"/>
  <c r="D7" i="2"/>
  <c r="E16" i="2"/>
  <c r="F16" i="2"/>
  <c r="G16" i="2"/>
  <c r="D14" i="2"/>
  <c r="E9" i="11"/>
  <c r="F23" i="1" l="1"/>
  <c r="F26" i="1" s="1"/>
  <c r="G14" i="7" s="1"/>
  <c r="D26" i="1"/>
  <c r="H23" i="1"/>
  <c r="H26" i="1" s="1"/>
  <c r="G15" i="7" s="1"/>
  <c r="B21" i="1"/>
  <c r="B27" i="1" s="1"/>
  <c r="D13" i="1"/>
  <c r="F13" i="1" s="1"/>
  <c r="H13" i="1" s="1"/>
  <c r="F16" i="1"/>
  <c r="H16" i="1" s="1"/>
  <c r="F15" i="1"/>
  <c r="H15" i="1" s="1"/>
  <c r="F17" i="1"/>
  <c r="H17" i="1" s="1"/>
  <c r="F18" i="1"/>
  <c r="H18" i="1" s="1"/>
  <c r="F14" i="1"/>
  <c r="H14" i="1"/>
  <c r="B11" i="1"/>
  <c r="E11" i="11"/>
  <c r="E10" i="11"/>
  <c r="G13" i="7" l="1"/>
  <c r="G11" i="7" s="1"/>
  <c r="E8" i="11" l="1"/>
  <c r="E7" i="11"/>
  <c r="E5" i="11"/>
  <c r="E6" i="11"/>
  <c r="G6" i="7" l="1"/>
  <c r="C10" i="1" l="1"/>
  <c r="C8" i="1"/>
  <c r="C16" i="2" l="1"/>
  <c r="F24" i="7"/>
  <c r="E24" i="7"/>
  <c r="F23" i="7"/>
  <c r="C17" i="7"/>
  <c r="C16" i="7"/>
  <c r="C9" i="7"/>
  <c r="F8" i="7"/>
  <c r="F10" i="7" s="1"/>
  <c r="E6" i="7"/>
  <c r="C24" i="7" l="1"/>
  <c r="C8" i="7"/>
  <c r="C23" i="7"/>
  <c r="F6" i="7"/>
  <c r="D6" i="7" l="1"/>
  <c r="C6" i="7"/>
  <c r="C8" i="6" l="1"/>
  <c r="G19" i="1" s="1"/>
  <c r="G20" i="1" l="1"/>
  <c r="G10" i="1"/>
  <c r="G9" i="1"/>
  <c r="B8" i="5"/>
  <c r="C9" i="1"/>
  <c r="D19" i="1"/>
  <c r="D9" i="2"/>
  <c r="F19" i="1" l="1"/>
  <c r="D8" i="1"/>
  <c r="F8" i="1" s="1"/>
  <c r="D16" i="2"/>
  <c r="F9" i="1"/>
  <c r="D10" i="1"/>
  <c r="F10" i="1" s="1"/>
  <c r="D9" i="1"/>
  <c r="D20" i="1"/>
  <c r="D21" i="1" s="1"/>
  <c r="F13" i="7" l="1"/>
  <c r="H19" i="1"/>
  <c r="D11" i="1"/>
  <c r="E13" i="7" s="1"/>
  <c r="C13" i="7" s="1"/>
  <c r="F20" i="1"/>
  <c r="H20" i="1" s="1"/>
  <c r="H9" i="1"/>
  <c r="H10" i="1"/>
  <c r="D27" i="1" l="1"/>
  <c r="H21" i="1"/>
  <c r="F21" i="1"/>
  <c r="F11" i="1"/>
  <c r="E14" i="7" s="1"/>
  <c r="H8" i="1"/>
  <c r="E11" i="7" l="1"/>
  <c r="F14" i="7"/>
  <c r="F11" i="7" s="1"/>
  <c r="F27" i="1"/>
  <c r="F15" i="7"/>
  <c r="H11" i="1"/>
  <c r="E15" i="7" s="1"/>
  <c r="D11" i="7"/>
  <c r="D21" i="7" s="1"/>
  <c r="F21" i="7" l="1"/>
  <c r="C15" i="7"/>
  <c r="E21" i="7"/>
  <c r="H27" i="1"/>
  <c r="C14" i="7"/>
  <c r="C11" i="7" s="1"/>
  <c r="C21" i="7" l="1"/>
  <c r="C26" i="7" s="1"/>
</calcChain>
</file>

<file path=xl/sharedStrings.xml><?xml version="1.0" encoding="utf-8"?>
<sst xmlns="http://schemas.openxmlformats.org/spreadsheetml/2006/main" count="429" uniqueCount="343">
  <si>
    <t>Основная заработная плата, руб.коп.</t>
  </si>
  <si>
    <t>Дополнительная заработная плата</t>
  </si>
  <si>
    <t>Отчисления на социальное страхование</t>
  </si>
  <si>
    <t>ОПР</t>
  </si>
  <si>
    <t>ОХР</t>
  </si>
  <si>
    <t>%</t>
  </si>
  <si>
    <t>Сумма
(руб.коп.)</t>
  </si>
  <si>
    <t>Вид работ</t>
  </si>
  <si>
    <t>Общая трудоемкость
(н/час)</t>
  </si>
  <si>
    <t>стоимость 1 н/час, руб.коп.</t>
  </si>
  <si>
    <t>Обработка деталей корпуса</t>
  </si>
  <si>
    <t>Предварительная сборка конструкций</t>
  </si>
  <si>
    <t>Формирование корпуса</t>
  </si>
  <si>
    <t>Трубомонтажные работы</t>
  </si>
  <si>
    <t>Механомонтажные работы</t>
  </si>
  <si>
    <t>Достроечные работы</t>
  </si>
  <si>
    <t>Испытания судна</t>
  </si>
  <si>
    <t>Изготовление изделий МСЧ</t>
  </si>
  <si>
    <t>Электромонтажные работы</t>
  </si>
  <si>
    <t>Общая трудоемкость
(чел/час)</t>
  </si>
  <si>
    <t>Наименование</t>
  </si>
  <si>
    <t>Итого</t>
  </si>
  <si>
    <t>Структура ДЗП</t>
  </si>
  <si>
    <t>Продолжительность, дни</t>
  </si>
  <si>
    <t>Ежегодный основной и дополнительный отпуск, предусмотренный законодательством Российской Федерации (без денежной компенсации за неиспользованный отпуск)</t>
  </si>
  <si>
    <t>Временная нетрудоспособность (больничный лист) работника в соответствии с нормами законодательства РФ</t>
  </si>
  <si>
    <t>В среднем, по данным исследований (вставить ссылку)</t>
  </si>
  <si>
    <t>(в среднем в соответствии с ТК)</t>
  </si>
  <si>
    <t>Время медицинского обследования, дней сдачи крови и ее компонентов и предоставленных в связи с этим дней отдыха</t>
  </si>
  <si>
    <t>Согл. ОКВЭД</t>
  </si>
  <si>
    <t>Обязательное пенсионное страхование</t>
  </si>
  <si>
    <t>Обязательное медицинское страхование</t>
  </si>
  <si>
    <t>Структура отчислений во внебюджетные фонды</t>
  </si>
  <si>
    <t>Величина отчислений, %</t>
  </si>
  <si>
    <t>Обязательное социальное страхование на случай временной нетрудоспособности и в связи с материнством</t>
  </si>
  <si>
    <t>От несчастных случаев на производстве и профзаболеваний</t>
  </si>
  <si>
    <t xml:space="preserve">Примечание </t>
  </si>
  <si>
    <t>Наименование статей калькуляции</t>
  </si>
  <si>
    <t>Предложено организацией-поставщиком
(подрядчиком, исполнителем)</t>
  </si>
  <si>
    <t>Примечание</t>
  </si>
  <si>
    <t>Всего</t>
  </si>
  <si>
    <t>Материальные затраты - всего:</t>
  </si>
  <si>
    <t xml:space="preserve">   в том числе:</t>
  </si>
  <si>
    <t xml:space="preserve">   приобретение сырья, материалов и вспомогательных материалов</t>
  </si>
  <si>
    <t xml:space="preserve">   приобретение комплектующих изделий</t>
  </si>
  <si>
    <t>Затраты на оплату труда - всего:</t>
  </si>
  <si>
    <t xml:space="preserve">   основная заработная плата</t>
  </si>
  <si>
    <t xml:space="preserve">   дополнительная заработная плата</t>
  </si>
  <si>
    <t>Страховые взносы на обязательное социальное страхование</t>
  </si>
  <si>
    <t>Общепроизводственные затраты</t>
  </si>
  <si>
    <t xml:space="preserve">Общехозяйственные затраты </t>
  </si>
  <si>
    <t>Производственная себестоимость
(сумма строк 0100, 0200, 0300, 0400, 0500 – 1200)</t>
  </si>
  <si>
    <t>Коммерческие (внепроизводственные) затраты</t>
  </si>
  <si>
    <t>в том числе:</t>
  </si>
  <si>
    <t>привнесенные затраты</t>
  </si>
  <si>
    <t>собственные затраты</t>
  </si>
  <si>
    <t>Прибыль</t>
  </si>
  <si>
    <t>Х</t>
  </si>
  <si>
    <t>Цена продукции (без НДС)
(сумма строк 1700, 1800)</t>
  </si>
  <si>
    <t>Трудоемкость (нормо-часы)</t>
  </si>
  <si>
    <t>затраты за 2026 год</t>
  </si>
  <si>
    <t>затраты за 2027 год</t>
  </si>
  <si>
    <t>Затраты за 2028 год</t>
  </si>
  <si>
    <t>01.10 - Материалы</t>
  </si>
  <si>
    <t>01.22 - Расходы на приобретение, изготовление и ремонт инструмента, инвентаря</t>
  </si>
  <si>
    <t>01.23 - Расходы на ГСМ и топливо</t>
  </si>
  <si>
    <t>01.25 - Расходы на сварочное оборудование, расходные и комплектующие материалы</t>
  </si>
  <si>
    <t>01.27 - Прочие расходы обеспечивающие охрану труда (мыло, защитные средства и прочее)</t>
  </si>
  <si>
    <t>01.29 - Расходы на мебель</t>
  </si>
  <si>
    <t>01.30 - Расходы на МБП не производственного характера</t>
  </si>
  <si>
    <t>02.11.в - Расходы на обеспечение цехов энергетическими услугами на технологические цели (вода)</t>
  </si>
  <si>
    <t>02.11.г - Расходы на обеспечение цехов энергетическими услугами на технологические цели (газы)</t>
  </si>
  <si>
    <t>02.11.с - Расходы на обеспечение цехов энергетическими услугами на технологические цели (стоки)</t>
  </si>
  <si>
    <t>02.11.т - Расходы на обеспечение цехов энергетическими услугами на технологические цели (тепло)</t>
  </si>
  <si>
    <t>02.11.э - Расходы на обеспечение цехов энергетическими услугами на технологические цели (электричество)</t>
  </si>
  <si>
    <t>03.11 - Расходы на приобретение работ и услуг производственного характера, выполняемых сторонними организациями</t>
  </si>
  <si>
    <t>03.12 - Расходы на ремонт оборудования, транспортных средств</t>
  </si>
  <si>
    <t>03.15 - Расходы на обеспечение производства транспортными услугами</t>
  </si>
  <si>
    <t>Расходы на оплату труда общепроизводственного персонала, занятого в обеспечении производства</t>
  </si>
  <si>
    <t>Страховые взносы на зарплату общепроизводственного персонала</t>
  </si>
  <si>
    <t>11.10 - Амортизация оборудования и транспортных средств</t>
  </si>
  <si>
    <t>11.11 - Амортизация зданий, сооружений.</t>
  </si>
  <si>
    <t>14.12 - Расходы на охрану труда</t>
  </si>
  <si>
    <t>14.13 - Прочие расходы по договорам на выполнение работ по содержанию и эксплуатации зданий и сооружений</t>
  </si>
  <si>
    <t>14.15 - Расходы на приобретение индив.средств защиты,спецодежды,спецобуви,ремонт и стирка спецодежды</t>
  </si>
  <si>
    <t>14.16 – Обеспечение работников вредных производств молоком и другими равноценными продуктами</t>
  </si>
  <si>
    <t>14.17 - Вывоз мусора,зарядка огнетушителей,дезинсекция, дератизация и пр.</t>
  </si>
  <si>
    <t>14.22 - Информационные услуги (интернет, правовые базы и пр.) и программ.продукты</t>
  </si>
  <si>
    <t>14.23 - Техническое обслуживание</t>
  </si>
  <si>
    <t>14.24 - Страхование имущества</t>
  </si>
  <si>
    <t>14.27 - Командировочные расходы</t>
  </si>
  <si>
    <t>14.31 - Прочие налоги</t>
  </si>
  <si>
    <t>14.32 - Расходы на противопожарную безопасность</t>
  </si>
  <si>
    <t>14.33 - Медицинский осмотр работников организации</t>
  </si>
  <si>
    <t>14.34 - Канцелярские расходы и расходы, связанные с типографскими и копировально-множительными работами</t>
  </si>
  <si>
    <t>14.35 - Оргтехника расходные материалы и программное обеспечение</t>
  </si>
  <si>
    <t>14.36 - Расходы на почтовые, телеграфные услуги и услуги связи</t>
  </si>
  <si>
    <t>14.38 - Услуги, оказываемые подразделениями организации</t>
  </si>
  <si>
    <t>14.39 - Экспертизы, поверки и прочее</t>
  </si>
  <si>
    <t>Оплата труда персоналу общехозяйственного назначения</t>
  </si>
  <si>
    <t>Страховые взносы с оплаты труда персонала общехозяйственного назанчения</t>
  </si>
  <si>
    <t>01.31 - Прочие материалы</t>
  </si>
  <si>
    <t>01.32 - Расходы на спец. одежду и средства индивидуальной защиты</t>
  </si>
  <si>
    <t>01.33 - Расходы на инструмент и прочие приспособления</t>
  </si>
  <si>
    <t>01.34 - Расходы на оргтехнику, ремонт и содержание</t>
  </si>
  <si>
    <t>11.12 - Амортизация ОС, НМА</t>
  </si>
  <si>
    <t>17.10 - Аренда и лизинг</t>
  </si>
  <si>
    <t>17.11в - Расходы на обеспечение общества энергетическими услугами (вода)</t>
  </si>
  <si>
    <t>17.11с - Расходы на обеспечение общества энергетическими услугами (стоки)</t>
  </si>
  <si>
    <t>17.11т - Расходы на обеспечение общества энергетическими услугами (тепло)</t>
  </si>
  <si>
    <t>17.11э - Расходы на обеспечение общества энергетическими услугами (электричество)</t>
  </si>
  <si>
    <t>17.12 - Расходы на содержание основных средств общехозяйственного назначения</t>
  </si>
  <si>
    <t>17.13 - Расходы на ремонт зданий и сооружений</t>
  </si>
  <si>
    <t>17.14 - Расходы по обеспечению безопасности и гражданской обороны общества</t>
  </si>
  <si>
    <t>17.15 - Канцелярские расходы и расходы, связанные с типографскими и копировально-множительными работ</t>
  </si>
  <si>
    <t>17.17 - Расходы на обеспечение служб общества транспортными услугами, содержание автопарка</t>
  </si>
  <si>
    <t>17.19 - Информационные материалы (подписные издания и т.п.)</t>
  </si>
  <si>
    <t>17.20 - Расходы на почтовые, телеграфные услуги и услуги связи</t>
  </si>
  <si>
    <t>17.22 - Представительские расходы</t>
  </si>
  <si>
    <t>17.23 - Поддержка и сопровождение программного обеспечения</t>
  </si>
  <si>
    <t>17.24 - Оргтехника расходные материалы и программное обеспечение</t>
  </si>
  <si>
    <t>17.25 - Расходы по обязательным видам страхования</t>
  </si>
  <si>
    <t>17.26 - Расходы на обучение кадров и повышение квалификации (в том числе семинары)</t>
  </si>
  <si>
    <t>17.27 - Расходы, связанные с совершенствованием технологии и организации производства</t>
  </si>
  <si>
    <t>17.28 - Расходы на охрану труда</t>
  </si>
  <si>
    <t>17.29 - Расходы на оплату консультационных, юридических услуг</t>
  </si>
  <si>
    <t>17.30 - Расходы на оплату налогов и сборов</t>
  </si>
  <si>
    <t>17.31 - Прочие расходы</t>
  </si>
  <si>
    <t>17.34 - Лицензирование, сертификация</t>
  </si>
  <si>
    <t>17.35 - Услуги типографии</t>
  </si>
  <si>
    <t>17.37 - Медицинский осмотр работников организации</t>
  </si>
  <si>
    <t>17.38 - Услуги, оказываемые подразделениями организации</t>
  </si>
  <si>
    <t>17.39 - Пользование водными объектами</t>
  </si>
  <si>
    <t>17.40 - Услуги сторонних организаций</t>
  </si>
  <si>
    <t>17.41 - Техническое обслуживание</t>
  </si>
  <si>
    <t>17.44 - Текущий ремонт оборудования и транспорта</t>
  </si>
  <si>
    <t>17.46 - Испытания, содержание лабораторий</t>
  </si>
  <si>
    <t>17.49 - Ремонт зданий и сооружений</t>
  </si>
  <si>
    <t>17.51 - Транспортный налог</t>
  </si>
  <si>
    <t>17.52 - Налог на имущество</t>
  </si>
  <si>
    <t>17.53 - Земельный налог</t>
  </si>
  <si>
    <t>17.55 - Экспертизы, поверки и прочее</t>
  </si>
  <si>
    <t>17.58 - Дезинфекция, дезинсекция и дератизация</t>
  </si>
  <si>
    <t>17.59 - Вывоз и утилизация мусора</t>
  </si>
  <si>
    <t>17.64 - ТЗР общехозяйственные</t>
  </si>
  <si>
    <t>17.65 - Затраты на подбор персонала</t>
  </si>
  <si>
    <t xml:space="preserve">17.71 - Командировочные расходы </t>
  </si>
  <si>
    <t>79… - Расходы отдельных подразделений вспомогательного производства, связанные с работами инженерно-технического обслуживания основного производства продукции, работ (услуг) АО "Адмиралтейские верфи"</t>
  </si>
  <si>
    <t>Затраты за 2029 год</t>
  </si>
  <si>
    <t>Этап работ согласно дорожной карте</t>
  </si>
  <si>
    <t>Наименование материала</t>
  </si>
  <si>
    <t>Количество</t>
  </si>
  <si>
    <t>Единица измерения</t>
  </si>
  <si>
    <t>Сумма</t>
  </si>
  <si>
    <t>Поставщик</t>
  </si>
  <si>
    <t>Ссылка</t>
  </si>
  <si>
    <t>Металлсервис: Лист 09Г2С</t>
  </si>
  <si>
    <t>СПбАлюм: лист АМг5</t>
  </si>
  <si>
    <t>Труба бесшовная (DN40–DN125), Ст20/09Г2С, ГОСТ 8732</t>
  </si>
  <si>
    <t>Труба бесшовная (DN20–DN80), 12Х18Н10Т (316L)</t>
  </si>
  <si>
    <t>InoxMarket: 12Х18Н10Т</t>
  </si>
  <si>
    <t>Труба ПНД/ПП (DN50–DN225), судовая негорючая</t>
  </si>
  <si>
    <t>Судовая арматура, фланцы, клапаны (PTFE для метанола)</t>
  </si>
  <si>
    <t>Кабель силовой, контрольный, огнестойкий, слаботочный</t>
  </si>
  <si>
    <t>Кабельные трассы (лотки ДКС), сальники, проходки</t>
  </si>
  <si>
    <t>Грунт эпоксидный + Foul Release (силиконовый, пресная вода)</t>
  </si>
  <si>
    <t>Грунт + Полиуретановая эмаль (UV-стойкая, КМ1/КМ2)</t>
  </si>
  <si>
    <t>т</t>
  </si>
  <si>
    <t>кг</t>
  </si>
  <si>
    <t>Цена за единицу, без НДС</t>
  </si>
  <si>
    <t>Лист стальной 24х2000х6000 мм D36 ГОСТ Р 52927-2015</t>
  </si>
  <si>
    <t>https://ekb.pulscen.ru/products/list_stalnoy_24kh2000kh6000_mm_d36_gost_r_52927_2015_303060267</t>
  </si>
  <si>
    <t>Торговая площадка "Пульс цен"</t>
  </si>
  <si>
    <t>Лист горячекатаный судостр 10х1600х6000, марка РС B</t>
  </si>
  <si>
    <t>https://mc.ru/metalloprokat/stal_listovaya_g_k_sudostroitelnaya</t>
  </si>
  <si>
    <t>АО "Металлсервис"</t>
  </si>
  <si>
    <t>Лист горячекатаный низколегир 6х1500х6000, марка 09Г2С-15</t>
  </si>
  <si>
    <t>Швеллер низколегированный 12 П, длина 12 м, марка 09Г2С-15</t>
  </si>
  <si>
    <t>https://mc.ru/metalloprokat/shveller_nizkolegirovannyy_12_p_razmer_12_marka_09g2s-15_dlina_12000</t>
  </si>
  <si>
    <t>ООО "Невская Алюминиевая Компания"</t>
  </si>
  <si>
    <t>Тавр алюминиевый АМг5 20х20х2 ГОСТ 13622-91</t>
  </si>
  <si>
    <t>Алюминиевый уголок АМг5 50х30х3,0х6000 уголок 410944</t>
  </si>
  <si>
    <t>Алюминиевый уголок АМГ5 40х25х4</t>
  </si>
  <si>
    <t>"Металл-союз"</t>
  </si>
  <si>
    <t>https://metsklad.ru/tavr-alyuminievyij/tavr-alyuminievyij-amg5-20x20x2-gost-13622-91/?spm=a2ty_o01.29997173.0.0.51c855fb33pSyd</t>
  </si>
  <si>
    <t>ПКФ "Металл СВ"</t>
  </si>
  <si>
    <t>https://www.sv-metal.ru/catalog/alluminiy/alyuminievyy-ugolok/amg5-50h30h3-0-l-6000-410944/?spm=a2ty_o01.29997173.0.0.51c855fb33pSyd</t>
  </si>
  <si>
    <t>https://moststal.ru/magazin/alyuminievyij-ugolok-amg5-40x25x4?spm=a2ty_o01.29997173.0.0.51c855fb33pSyd</t>
  </si>
  <si>
    <t>Алюминиевый лист АМг5М РМРС 6х1500х4000</t>
  </si>
  <si>
    <t>Расчёт общей трудоёмкости</t>
  </si>
  <si>
    <t>Распределение по годам, н/ч</t>
  </si>
  <si>
    <t>10.1. Корпусообработка, изготовление деталей</t>
  </si>
  <si>
    <t>-</t>
  </si>
  <si>
    <t>10.2. Сборка и сварка секций и блоков</t>
  </si>
  <si>
    <t>10.3. Изготовление изделий МСЧ</t>
  </si>
  <si>
    <t>10.4.1. Формирование корпуса на стапеле</t>
  </si>
  <si>
    <t>10.4.2. Монтаж механизмов</t>
  </si>
  <si>
    <t>10.4.3. Монтаж трубопроводов</t>
  </si>
  <si>
    <t>Трудоемкость, заработная плата, косвенные расходы за 2027-2029 гг.</t>
  </si>
  <si>
    <t>2027 год</t>
  </si>
  <si>
    <t>Итого за 2027 год</t>
  </si>
  <si>
    <t>2028 год</t>
  </si>
  <si>
    <t>Итого за 2028 год</t>
  </si>
  <si>
    <t>2029 год</t>
  </si>
  <si>
    <t>Итого за 2029 год</t>
  </si>
  <si>
    <t xml:space="preserve">ВСЕГО </t>
  </si>
  <si>
    <t>Наименование должности</t>
  </si>
  <si>
    <t>Кол-во</t>
  </si>
  <si>
    <t xml:space="preserve">База, руб. </t>
  </si>
  <si>
    <t>Категория
 персонала</t>
  </si>
  <si>
    <t>База, руб.</t>
  </si>
  <si>
    <t>Итого
 основная ЗП</t>
  </si>
  <si>
    <t>Отчисления во 
внебюджетные фонды</t>
  </si>
  <si>
    <t>Итого затраты на оплату труда</t>
  </si>
  <si>
    <t>Ссылка на вакансию</t>
  </si>
  <si>
    <t>Зам. главного инженера</t>
  </si>
  <si>
    <t>АУП</t>
  </si>
  <si>
    <t>https://spb.hh.ru/vacancy/136536917?query=заместитель+главного+инженера&amp;hhtmFrom=vacancy_search_list</t>
  </si>
  <si>
    <t>Ведущий конструктор</t>
  </si>
  <si>
    <t>ИТР</t>
  </si>
  <si>
    <t>https://spb.hh.ru/vacancy/137042333?query=ведущий+конструктор&amp;hhtmFrom=vacancy_search_list</t>
  </si>
  <si>
    <t>Ведущий технолог</t>
  </si>
  <si>
    <t>https://spb.hh.ru/vacancy/137049104?query=ведущий+технолог&amp;hhtmFrom=vacancy_search_list</t>
  </si>
  <si>
    <t>Ведущий специалист
технического контроля</t>
  </si>
  <si>
    <t>https://spb.hh.ru/vacancy/135598070?query=ведущий+специалист+технического+контроля&amp;hhtmFrom=vacancy_search_list</t>
  </si>
  <si>
    <t>Ведущий  экономист</t>
  </si>
  <si>
    <t>https://spb.hh.ru/vacancy/136537115?query=ведущий+экономист&amp;hhtmFrom=vacancy_search_list</t>
  </si>
  <si>
    <t>Ведущий инженер-технолог</t>
  </si>
  <si>
    <t>https://spb.hh.ru/vacancy/137482925?query=ведущий+инженер-технолог&amp;hhtmFrom=vacancy_search_list</t>
  </si>
  <si>
    <t>Инженер - конструктор 1 кат.</t>
  </si>
  <si>
    <t>https://spb.hh.ru/vacancy/136907155?query=инженер-конструктор+1+категории&amp;hhtmFrom=vacancy_search_list</t>
  </si>
  <si>
    <t>Технолог 1 кат.</t>
  </si>
  <si>
    <t>https://spb.hh.ru/vacancy/137572170?query=технолог+1+категории&amp;hhtmFrom=vacancy_search_list</t>
  </si>
  <si>
    <t xml:space="preserve">Итого: </t>
  </si>
  <si>
    <t>Начальник производства</t>
  </si>
  <si>
    <t>https://spb.hh.ru/vacancy/137711314?query=начальник+производства&amp;hhtmFrom=vacancy_search_list</t>
  </si>
  <si>
    <t>Начальник участка</t>
  </si>
  <si>
    <t>https://spb.hh.ru/vacancy/137569275?query=начальник+участка&amp;hhtmFrom=vacancy_search_list</t>
  </si>
  <si>
    <t>Старший мастер участка</t>
  </si>
  <si>
    <t>https://spb.hh.ru/vacancy/136540024?query=старший+мастер+участка&amp;hhtmFrom=vacancy_search_list</t>
  </si>
  <si>
    <t>Мастер участка</t>
  </si>
  <si>
    <t>https://spb.hh.ru/vacancy/137655586?query=мастер+участка&amp;hhtmFrom=vacancy_search_list</t>
  </si>
  <si>
    <t>Специалист по охране труда</t>
  </si>
  <si>
    <t>https://spb.hh.ru/vacancy/137697813?query=специалист+по+охране+труда&amp;hhtmFrom=vacancy_search_list</t>
  </si>
  <si>
    <t>Специалист по МТО</t>
  </si>
  <si>
    <t>https://spb.hh.ru/vacancy/137355491?query=специалист+по+МТО&amp;hhtmFrom=vacancy_search_list</t>
  </si>
  <si>
    <t>Наладчик системы</t>
  </si>
  <si>
    <t>https://spb.hh.ru/vacancy/136953728?query=наладчик+системы&amp;hhtmFrom=vacancy_search_list</t>
  </si>
  <si>
    <t>Кладовщик</t>
  </si>
  <si>
    <t>ВПР</t>
  </si>
  <si>
    <t>https://spb.hh.ru/vacancy/137709749?query=кладовщик+на+завод&amp;hhtmFrom=vacancy_search_list</t>
  </si>
  <si>
    <t>Специалист по связям с
общественностью</t>
  </si>
  <si>
    <t>РСИС</t>
  </si>
  <si>
    <t>https://spb.hh.ru/vacancy/132322232?query=специалист+по+связям+с+общественностью&amp;hhtmFrom=vacancy_search_list</t>
  </si>
  <si>
    <t xml:space="preserve"> Строитель кораблей</t>
  </si>
  <si>
    <t>https://spb.hh.ru/search/vacancy?text=главный+строитель+кораблей&amp;salary=&amp;ored_clusters=true&amp;area=2&amp;suggestId=5f773725-bec5-4e17-8e9c-57afa341078d&amp;hhtmFrom=vacancy_search_list&amp;hhtmFromLabel=vacancy_search_line</t>
  </si>
  <si>
    <t>Итого:</t>
  </si>
  <si>
    <t>Поставшик</t>
  </si>
  <si>
    <t>Варианты рекламы</t>
  </si>
  <si>
    <t>Источник</t>
  </si>
  <si>
    <t>Метроплитен СПБ</t>
  </si>
  <si>
    <t>Реклама на щитах 4×2 м</t>
  </si>
  <si>
    <t>АО "Адмиралтейские верфи"</t>
  </si>
  <si>
    <t>Буклеты, раздаточная продукция</t>
  </si>
  <si>
    <t>Печать будет осуществляться в типографии предприятия из расчета 30 рублей за буклет А4, 
цветная печать с двух сторон, в количестве 100 штук.
Буклеты будут раздаваться силами работников на профориетационных и других рекламных мероприятиях (Конференциях, Выставках и т.д.)</t>
  </si>
  <si>
    <t>Реклама в социальных сетях</t>
  </si>
  <si>
    <t>АО "Адмиралтейские верфи" ведут несколько социальных сетей на разных площадках:
 Телеграм, Макс, Вконтакте  силами сотрудников предприятия</t>
  </si>
  <si>
    <t>Фонд оплаты труда основных производственных рабочих</t>
  </si>
  <si>
    <t>База распределения - количество рабочих дней</t>
  </si>
  <si>
    <t>% ДЗП</t>
  </si>
  <si>
    <t>Премия, 10%</t>
  </si>
  <si>
    <t>ДЗП</t>
  </si>
  <si>
    <t xml:space="preserve">Всего затрат на АУП </t>
  </si>
  <si>
    <t>Обучающая организация</t>
  </si>
  <si>
    <t>Тема обучения</t>
  </si>
  <si>
    <t>стоимость обучения за 1 чел</t>
  </si>
  <si>
    <t>Кол-во сотрудников</t>
  </si>
  <si>
    <t>АНО ДПО «Учебный центр «Перспектива»</t>
  </si>
  <si>
    <t>АНО ДПО «Прикамский институт безопасности</t>
  </si>
  <si>
    <t>Поверка и калибровка средств измерений теплотехнических величин (давления, расхода, температуры) 108 часов</t>
  </si>
  <si>
    <t>АНО ДПО «ДВИПРАЗ»</t>
  </si>
  <si>
    <t>Поверка и калибровка средств геометрических измерений</t>
  </si>
  <si>
    <t>ЧОУ ДПО "Учебный центр "Конфакт"</t>
  </si>
  <si>
    <t xml:space="preserve">Повторная проверка знаний машиниста плавучего крана. </t>
  </si>
  <si>
    <t>ЧОУ ДПО "Морские системы"</t>
  </si>
  <si>
    <t>Подготовка в соответствии с требованиями  пунктов 1-4 Раздела А-VI/I кодекса ПДНВ</t>
  </si>
  <si>
    <t>ООО Многофункциональный Учебно-Информационный Центр "Меркурий"</t>
  </si>
  <si>
    <t>Специалист по пожарной профилактике</t>
  </si>
  <si>
    <t>ЧОУ ДПО "Спутник"</t>
  </si>
  <si>
    <t>Техносферная безопасность. Охрана труда</t>
  </si>
  <si>
    <t>Подготовка специалиста по спасательным шлюпкам и плотам и дежурным шлюпкам, не являющимся скоростными дежурными шлюпками, в соответствии с пунктами 1-4 раздела A-VI/2 Кодекса ПДНВ (Пункт 1.3 Правила VI/2 Конвенции ПДНВ) (первично)</t>
  </si>
  <si>
    <t>ИП Климчук В.А.</t>
  </si>
  <si>
    <t>Обучение по охране труда</t>
  </si>
  <si>
    <t>общий договор</t>
  </si>
  <si>
    <t>ИП Лысенко И.М.</t>
  </si>
  <si>
    <t>АНО ДПО "ПРОФАТОМЭНЕРГО"</t>
  </si>
  <si>
    <t>Итого затраты на обязательное обучение</t>
  </si>
  <si>
    <t>Обучение по электробезопасности</t>
  </si>
  <si>
    <t>Обучение по радиационной безопасности</t>
  </si>
  <si>
    <t>Организация деятельности и эксплуатации электроустановок для производства испытаний (измерений)-электролабораторий</t>
  </si>
  <si>
    <t>Себестоимость продукции
(сумма строк 1300, 1400, 1500, 1600)</t>
  </si>
  <si>
    <t>11. Выполнение работ на достроечной набережной</t>
  </si>
  <si>
    <t>12,14 Испытание кораблей</t>
  </si>
  <si>
    <t>Расчет общей трудоёмкости ОПР, необходимой для работы на заказе</t>
  </si>
  <si>
    <r>
      <rPr>
        <sz val="12"/>
        <color theme="1"/>
        <rFont val="Times New Roman"/>
        <family val="1"/>
        <charset val="204"/>
      </rPr>
      <t>Макет будет выполнен дизайнером отдела по связям с общественность АО "Адмиралтейские верфи"</t>
    </r>
    <r>
      <rPr>
        <u/>
        <sz val="12"/>
        <color theme="10"/>
        <rFont val="Times New Roman"/>
        <family val="1"/>
        <charset val="204"/>
      </rPr>
      <t xml:space="preserve">
https://www.metro-spb.ru/reklama-na-stanciyah-metro/shchit-putevoj.htm?ysclid=mudu3rg6be486653059</t>
    </r>
  </si>
  <si>
    <t>Итого затраты на маркетинг и продвижение за год</t>
  </si>
  <si>
    <t>Стоимость  руб./месяц</t>
  </si>
  <si>
    <t>Компания Мост</t>
  </si>
  <si>
    <t>ООО " МК "Буран"</t>
  </si>
  <si>
    <t>https://spb.buranmetall.ru/truba-besshovnaya-09g2s/40x9?ysclid=muel5e80ub913359280</t>
  </si>
  <si>
    <t>ООО ТК ИноксМаркет</t>
  </si>
  <si>
    <t>м</t>
  </si>
  <si>
    <t>Компания Энерго Пайп</t>
  </si>
  <si>
    <t>https://energo-pipe.ru/</t>
  </si>
  <si>
    <t>шт.</t>
  </si>
  <si>
    <t>ООО "ТД Ватервальве"</t>
  </si>
  <si>
    <t>https://shop-watervalve.ru/59137/</t>
  </si>
  <si>
    <t>ООО "СнапКабель"</t>
  </si>
  <si>
    <t>https://snabcable.ru/about_us/</t>
  </si>
  <si>
    <t>АО "ДКС"</t>
  </si>
  <si>
    <t>https://dkc-msk.ru/products/lotok-perforirovannyy-100kh50-l3000-35262/</t>
  </si>
  <si>
    <t>ГК ДЖИФЛЕКС</t>
  </si>
  <si>
    <t>https://spb.gflex.ru/catalog/gruntovki/3276/?ysclid=muenx18ulq726592891</t>
  </si>
  <si>
    <t>Магазин красок "Колор"</t>
  </si>
  <si>
    <t>https://color1.ru/antikorrozionnaya-poliuretanova-grunt-emal-indosingl-pu-tsvet-ral-9017-v-komplekte-s-otverditelem-1kg-0-25l</t>
  </si>
  <si>
    <t>Расшифровка затрат на на приобретение сырья, материалов и вспомогательных материалов</t>
  </si>
  <si>
    <t xml:space="preserve">Итого затрат на материалы </t>
  </si>
  <si>
    <t xml:space="preserve">   транспортно-заготовительные затраты (приняты на уровне % ТЗР, принятого в АО "АВ"</t>
  </si>
  <si>
    <t>Наименование ПКИ</t>
  </si>
  <si>
    <t>Weichai Power 
Co., Ltd. (Marine Division)</t>
  </si>
  <si>
    <t xml:space="preserve"> Гребные колёса и 
сопутствующее оборудование для судна</t>
  </si>
  <si>
    <t xml:space="preserve">ООО «Плато-Инжиниринг» </t>
  </si>
  <si>
    <t>Система вентиляции и 
кондиционирования воздуха, ООО ХХР</t>
  </si>
  <si>
    <t>ООО "ХХР"</t>
  </si>
  <si>
    <t>Обурудование для дизель-
электрического пропульсивного комплекса</t>
  </si>
  <si>
    <t>См. ТКП №1 в приложении</t>
  </si>
  <si>
    <t>См. ТКП №2 в приложении</t>
  </si>
  <si>
    <t>См. ТКП №3 в приложении</t>
  </si>
  <si>
    <t>Оборудование и арматура общесудовых систем и ситем СЭУ</t>
  </si>
  <si>
    <t>ООО «Промтехнологии»</t>
  </si>
  <si>
    <t>См. ТКП №4 в приложении</t>
  </si>
  <si>
    <t>Итого затраты на ПКИ</t>
  </si>
  <si>
    <t>Прочие прямые затраты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</si>
</sst>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71" formatCode="#,##0.00&quot; ₽&quot;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color theme="8" tint="-0.249977111117893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94F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ABDB77"/>
        <bgColor indexed="64"/>
      </patternFill>
    </fill>
    <fill>
      <patternFill patternType="solid">
        <fgColor rgb="FFC0C0C0"/>
        <bgColor rgb="FFCCC1DA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E1F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1E3EA"/>
      </bottom>
      <diagonal/>
    </border>
    <border>
      <left/>
      <right style="medium">
        <color rgb="FFE3E3E3"/>
      </right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/>
      <diagonal/>
    </border>
    <border>
      <left style="medium">
        <color rgb="FFE3E3E3"/>
      </left>
      <right style="medium">
        <color rgb="FFE3E3E3"/>
      </right>
      <top/>
      <bottom style="medium">
        <color rgb="FFE1E3EA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2" borderId="1" applyProtection="0">
      <alignment horizontal="center" wrapText="1"/>
    </xf>
    <xf numFmtId="164" fontId="1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2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" fontId="0" fillId="0" borderId="0" xfId="0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1" applyNumberFormat="1" applyFont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9" fillId="0" borderId="0" xfId="3" applyFont="1"/>
    <xf numFmtId="0" fontId="8" fillId="0" borderId="0" xfId="3" applyFont="1" applyAlignment="1">
      <alignment vertical="center"/>
    </xf>
    <xf numFmtId="0" fontId="8" fillId="0" borderId="0" xfId="3" applyFont="1" applyAlignment="1">
      <alignment vertical="center" wrapText="1"/>
    </xf>
    <xf numFmtId="0" fontId="8" fillId="0" borderId="0" xfId="3" applyFont="1"/>
    <xf numFmtId="0" fontId="10" fillId="0" borderId="0" xfId="3" applyFont="1" applyAlignment="1">
      <alignment vertical="top"/>
    </xf>
    <xf numFmtId="0" fontId="8" fillId="0" borderId="0" xfId="3" applyFont="1" applyAlignment="1">
      <alignment vertical="top"/>
    </xf>
    <xf numFmtId="49" fontId="8" fillId="0" borderId="0" xfId="3" applyNumberFormat="1" applyFont="1" applyAlignment="1">
      <alignment horizontal="left"/>
    </xf>
    <xf numFmtId="49" fontId="8" fillId="0" borderId="0" xfId="3" applyNumberFormat="1" applyFont="1"/>
    <xf numFmtId="0" fontId="8" fillId="0" borderId="0" xfId="3" applyFont="1" applyAlignment="1">
      <alignment wrapText="1"/>
    </xf>
    <xf numFmtId="0" fontId="9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vertical="center"/>
    </xf>
    <xf numFmtId="0" fontId="8" fillId="0" borderId="0" xfId="3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0" borderId="0" xfId="0" applyFill="1"/>
    <xf numFmtId="0" fontId="3" fillId="0" borderId="15" xfId="2" applyFont="1" applyBorder="1" applyAlignment="1">
      <alignment horizontal="center" vertical="center" wrapText="1"/>
    </xf>
    <xf numFmtId="0" fontId="3" fillId="0" borderId="16" xfId="2" applyFont="1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11" fillId="0" borderId="21" xfId="8" applyBorder="1"/>
    <xf numFmtId="0" fontId="0" fillId="0" borderId="20" xfId="0" applyBorder="1" applyAlignment="1">
      <alignment wrapText="1"/>
    </xf>
    <xf numFmtId="0" fontId="8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11" fillId="0" borderId="21" xfId="8" applyBorder="1" applyAlignment="1">
      <alignment horizontal="left" vertical="center"/>
    </xf>
    <xf numFmtId="0" fontId="11" fillId="0" borderId="19" xfId="8" applyBorder="1"/>
    <xf numFmtId="4" fontId="0" fillId="0" borderId="23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0" fillId="0" borderId="17" xfId="0" applyBorder="1"/>
    <xf numFmtId="0" fontId="0" fillId="0" borderId="22" xfId="0" applyBorder="1"/>
    <xf numFmtId="0" fontId="0" fillId="0" borderId="24" xfId="0" applyBorder="1"/>
    <xf numFmtId="2" fontId="0" fillId="0" borderId="18" xfId="1" applyNumberFormat="1" applyFont="1" applyBorder="1" applyAlignment="1">
      <alignment horizontal="center" vertical="center"/>
    </xf>
    <xf numFmtId="10" fontId="0" fillId="0" borderId="23" xfId="1" applyNumberFormat="1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11" fillId="0" borderId="32" xfId="8" applyBorder="1" applyAlignment="1">
      <alignment horizontal="left" vertical="center"/>
    </xf>
    <xf numFmtId="0" fontId="11" fillId="0" borderId="24" xfId="8" applyBorder="1" applyAlignment="1">
      <alignment wrapText="1"/>
    </xf>
    <xf numFmtId="0" fontId="13" fillId="0" borderId="28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4" fontId="6" fillId="0" borderId="29" xfId="0" applyNumberFormat="1" applyFont="1" applyFill="1" applyBorder="1" applyAlignment="1">
      <alignment horizontal="center" vertical="center"/>
    </xf>
    <xf numFmtId="4" fontId="6" fillId="0" borderId="33" xfId="0" applyNumberFormat="1" applyFont="1" applyFill="1" applyBorder="1" applyAlignment="1">
      <alignment horizontal="center" vertical="center"/>
    </xf>
    <xf numFmtId="4" fontId="0" fillId="0" borderId="34" xfId="0" applyNumberFormat="1" applyBorder="1" applyAlignment="1">
      <alignment horizontal="center" vertical="center"/>
    </xf>
    <xf numFmtId="4" fontId="0" fillId="0" borderId="35" xfId="0" applyNumberFormat="1" applyBorder="1" applyAlignment="1">
      <alignment horizontal="center" vertical="center"/>
    </xf>
    <xf numFmtId="0" fontId="0" fillId="0" borderId="26" xfId="0" applyBorder="1"/>
    <xf numFmtId="4" fontId="0" fillId="0" borderId="14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4" fontId="5" fillId="10" borderId="1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" fontId="6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/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4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 wrapText="1"/>
    </xf>
    <xf numFmtId="171" fontId="14" fillId="0" borderId="1" xfId="0" applyNumberFormat="1" applyFont="1" applyFill="1" applyBorder="1" applyAlignment="1">
      <alignment horizontal="center" vertical="center" wrapText="1"/>
    </xf>
    <xf numFmtId="4" fontId="14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4" fontId="7" fillId="0" borderId="0" xfId="0" applyNumberFormat="1" applyFont="1"/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center" vertical="center"/>
    </xf>
    <xf numFmtId="10" fontId="7" fillId="0" borderId="3" xfId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0" fontId="7" fillId="0" borderId="1" xfId="1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" fontId="12" fillId="0" borderId="2" xfId="0" applyNumberFormat="1" applyFont="1" applyBorder="1" applyAlignment="1">
      <alignment horizontal="center" vertical="center"/>
    </xf>
    <xf numFmtId="0" fontId="16" fillId="0" borderId="0" xfId="0" applyFont="1"/>
    <xf numFmtId="0" fontId="16" fillId="7" borderId="28" xfId="0" applyFont="1" applyFill="1" applyBorder="1" applyAlignment="1">
      <alignment horizontal="center"/>
    </xf>
    <xf numFmtId="4" fontId="16" fillId="7" borderId="29" xfId="0" applyNumberFormat="1" applyFont="1" applyFill="1" applyBorder="1" applyAlignment="1">
      <alignment horizontal="center" vertical="center"/>
    </xf>
    <xf numFmtId="4" fontId="16" fillId="7" borderId="3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1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14" fillId="0" borderId="2" xfId="3" applyFont="1" applyBorder="1" applyAlignment="1">
      <alignment horizontal="center" vertical="center" wrapText="1"/>
    </xf>
    <xf numFmtId="0" fontId="14" fillId="4" borderId="25" xfId="2" applyFont="1" applyFill="1" applyBorder="1" applyAlignment="1">
      <alignment horizontal="center" vertical="center" wrapText="1"/>
    </xf>
    <xf numFmtId="0" fontId="14" fillId="4" borderId="26" xfId="2" applyFont="1" applyFill="1" applyBorder="1" applyAlignment="1">
      <alignment horizontal="center" vertical="center" wrapText="1"/>
    </xf>
    <xf numFmtId="0" fontId="14" fillId="4" borderId="27" xfId="2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/>
    <xf numFmtId="0" fontId="8" fillId="0" borderId="0" xfId="3" applyFont="1" applyBorder="1" applyAlignment="1">
      <alignment vertical="center" wrapText="1"/>
    </xf>
    <xf numFmtId="0" fontId="8" fillId="0" borderId="0" xfId="3" applyFont="1" applyBorder="1"/>
    <xf numFmtId="0" fontId="8" fillId="0" borderId="0" xfId="3" applyFont="1" applyBorder="1" applyAlignment="1">
      <alignment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9" fillId="3" borderId="7" xfId="3" applyFont="1" applyFill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left" vertical="center" wrapText="1"/>
    </xf>
    <xf numFmtId="4" fontId="8" fillId="3" borderId="1" xfId="3" applyNumberFormat="1" applyFont="1" applyFill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left" wrapText="1"/>
    </xf>
    <xf numFmtId="0" fontId="8" fillId="3" borderId="1" xfId="3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4" fontId="3" fillId="3" borderId="1" xfId="3" applyNumberFormat="1" applyFont="1" applyFill="1" applyBorder="1" applyAlignment="1">
      <alignment horizontal="center" vertical="center"/>
    </xf>
    <xf numFmtId="4" fontId="3" fillId="0" borderId="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wrapText="1"/>
    </xf>
    <xf numFmtId="4" fontId="9" fillId="3" borderId="1" xfId="3" applyNumberFormat="1" applyFont="1" applyFill="1" applyBorder="1" applyAlignment="1">
      <alignment horizontal="center" vertical="center"/>
    </xf>
    <xf numFmtId="4" fontId="9" fillId="0" borderId="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/>
    </xf>
    <xf numFmtId="0" fontId="8" fillId="0" borderId="1" xfId="3" applyFont="1" applyBorder="1" applyAlignment="1">
      <alignment vertical="center"/>
    </xf>
    <xf numFmtId="0" fontId="10" fillId="0" borderId="4" xfId="3" applyFont="1" applyBorder="1" applyAlignment="1">
      <alignment horizontal="left" vertical="center" wrapText="1"/>
    </xf>
    <xf numFmtId="4" fontId="10" fillId="3" borderId="1" xfId="3" applyNumberFormat="1" applyFont="1" applyFill="1" applyBorder="1" applyAlignment="1">
      <alignment horizontal="center" vertical="center"/>
    </xf>
    <xf numFmtId="4" fontId="10" fillId="0" borderId="1" xfId="3" applyNumberFormat="1" applyFont="1" applyBorder="1" applyAlignment="1">
      <alignment horizontal="center" vertical="center"/>
    </xf>
    <xf numFmtId="0" fontId="10" fillId="0" borderId="1" xfId="3" applyFont="1" applyBorder="1" applyAlignment="1">
      <alignment horizontal="left" wrapText="1"/>
    </xf>
    <xf numFmtId="0" fontId="8" fillId="0" borderId="0" xfId="3" applyFont="1" applyAlignment="1">
      <alignment horizontal="justify" wrapText="1"/>
    </xf>
    <xf numFmtId="0" fontId="10" fillId="0" borderId="0" xfId="3" applyFont="1"/>
    <xf numFmtId="0" fontId="10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164" fontId="8" fillId="0" borderId="0" xfId="6" applyFont="1" applyFill="1" applyAlignment="1">
      <alignment vertical="center"/>
    </xf>
    <xf numFmtId="0" fontId="8" fillId="0" borderId="13" xfId="0" applyFont="1" applyBorder="1" applyAlignment="1">
      <alignment vertical="center" wrapText="1"/>
    </xf>
    <xf numFmtId="0" fontId="18" fillId="0" borderId="13" xfId="8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8" fillId="0" borderId="10" xfId="8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0" xfId="0" applyFont="1" applyBorder="1"/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/>
    </xf>
    <xf numFmtId="4" fontId="8" fillId="0" borderId="20" xfId="0" applyNumberFormat="1" applyFont="1" applyBorder="1" applyAlignment="1">
      <alignment horizontal="center" vertical="center"/>
    </xf>
    <xf numFmtId="4" fontId="8" fillId="0" borderId="21" xfId="0" applyNumberFormat="1" applyFont="1" applyBorder="1" applyAlignment="1">
      <alignment horizontal="center" vertical="center"/>
    </xf>
    <xf numFmtId="4" fontId="8" fillId="0" borderId="1" xfId="0" applyNumberFormat="1" applyFont="1" applyFill="1" applyBorder="1" applyAlignment="1">
      <alignment horizontal="center" vertical="center"/>
    </xf>
    <xf numFmtId="4" fontId="8" fillId="0" borderId="4" xfId="0" applyNumberFormat="1" applyFont="1" applyFill="1" applyBorder="1" applyAlignment="1">
      <alignment horizontal="center" vertical="center"/>
    </xf>
    <xf numFmtId="0" fontId="8" fillId="0" borderId="0" xfId="0" applyFont="1" applyFill="1"/>
    <xf numFmtId="4" fontId="8" fillId="0" borderId="3" xfId="0" applyNumberFormat="1" applyFont="1" applyBorder="1" applyAlignment="1">
      <alignment horizontal="center" vertical="center"/>
    </xf>
    <xf numFmtId="4" fontId="8" fillId="0" borderId="16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/>
    <xf numFmtId="4" fontId="9" fillId="0" borderId="1" xfId="0" applyNumberFormat="1" applyFont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4" fontId="9" fillId="0" borderId="22" xfId="0" applyNumberFormat="1" applyFont="1" applyBorder="1" applyAlignment="1">
      <alignment horizontal="center" vertical="center"/>
    </xf>
    <xf numFmtId="4" fontId="9" fillId="0" borderId="23" xfId="0" applyNumberFormat="1" applyFont="1" applyBorder="1" applyAlignment="1">
      <alignment horizontal="center" vertical="center"/>
    </xf>
    <xf numFmtId="4" fontId="9" fillId="0" borderId="2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171" fontId="3" fillId="8" borderId="1" xfId="0" applyNumberFormat="1" applyFont="1" applyFill="1" applyBorder="1" applyAlignment="1">
      <alignment horizontal="center" vertical="center" wrapText="1"/>
    </xf>
    <xf numFmtId="0" fontId="18" fillId="0" borderId="1" xfId="8" applyFont="1" applyBorder="1" applyAlignment="1">
      <alignment wrapText="1"/>
    </xf>
    <xf numFmtId="4" fontId="3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/>
    </xf>
    <xf numFmtId="4" fontId="4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18" fillId="0" borderId="1" xfId="8" applyFont="1" applyBorder="1" applyAlignment="1">
      <alignment vertical="center" wrapText="1"/>
    </xf>
    <xf numFmtId="0" fontId="19" fillId="0" borderId="1" xfId="8" applyFont="1" applyBorder="1" applyAlignment="1">
      <alignment vertical="center" wrapText="1"/>
    </xf>
    <xf numFmtId="4" fontId="8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4" fontId="9" fillId="0" borderId="1" xfId="0" applyNumberFormat="1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/>
    </xf>
  </cellXfs>
  <cellStyles count="9">
    <cellStyle name="Startech" xfId="5" xr:uid="{2B3ADE9C-2BEB-468F-8136-B84F7CDD5008}"/>
    <cellStyle name="Гиперссылка" xfId="8" builtinId="8"/>
    <cellStyle name="Обычный" xfId="0" builtinId="0"/>
    <cellStyle name="Обычный 2" xfId="3" xr:uid="{D20BCA8A-A50A-414D-9396-68D5A17396C9}"/>
    <cellStyle name="Обычный 2 2 4 2" xfId="4" xr:uid="{E3A27A18-50D9-407F-B97F-168EE22D8E19}"/>
    <cellStyle name="Обычный 3 3 2" xfId="7" xr:uid="{28493B3D-FEF9-4067-B308-D0AFB9603D07}"/>
    <cellStyle name="Обычный_зарплата" xfId="2" xr:uid="{134EAF91-B74F-43FE-916A-A55EB5BA9D5F}"/>
    <cellStyle name="Процентный" xfId="1" builtinId="5"/>
    <cellStyle name="Финансовый 2" xfId="6" xr:uid="{ACB0F765-E2E4-49F7-A409-AEB314C09AA2}"/>
  </cellStyles>
  <dxfs count="0"/>
  <tableStyles count="0" defaultTableStyle="TableStyleMedium2" defaultPivotStyle="PivotStyleLight16"/>
  <colors>
    <mruColors>
      <color rgb="FFA5E1F1"/>
      <color rgb="FFABDB77"/>
      <color rgb="FFFF9966"/>
      <color rgb="FFFF99FF"/>
      <color rgb="FFEB9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41;&#1070;&#1044;&#1046;&#1045;&#1058;\2025\&#1073;&#1102;&#1076;&#1078;&#1077;&#1090;&#1085;&#1072;&#1103;%20&#1084;&#1086;&#1076;&#1077;&#1083;&#1100;%20&#1072;&#1082;&#1090;&#1091;&#1072;&#1083;&#1100;&#1085;&#1072;&#1103;\b25_HP_ver4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nzit\&#1051;&#1080;&#1095;&#1085;&#1099;&#1077;%20&#1087;&#1072;&#1087;&#1082;&#1080;\&#1040;&#1083;&#1083;&#1080;&#1083;&#1091;&#1077;&#1074;&#1072;\&#1041;&#1072;&#1079;&#1072;%20&#1082;&#1086;&#1084;&#1087;&#1083;&#1077;&#1082;&#1090;&#1091;&#1102;&#1097;&#1080;&#1077;\!&#1041;&#1072;&#1079;&#1072;_&#1069;&#1056;&#1048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nzit\&#1051;&#1080;&#1095;&#1085;&#1099;&#1077;%20&#1087;&#1072;&#1087;&#1082;&#1080;\&#1044;&#1091;&#1073;&#1086;&#1074;&#1077;&#1094;&#1082;&#1080;&#1081;\&#1057;&#1063;%20&#1054;&#1050;&#1056;%20&#171;&#1056;&#1072;&#1079;&#1088;&#1072;&#1073;&#1086;&#1090;&#1082;&#1072;%20&#1073;&#1086;&#1088;&#1090;&#1086;&#1074;&#1086;&#1081;%20&#1095;&#1072;&#1089;&#1090;&#1080;%20&#1089;&#1080;&#1089;&#1090;&#1077;&#1084;&#1099;%20&#1077;&#1076;&#1080;&#1085;&#1086;&#1075;&#1086;%20&#1074;&#1088;&#1077;&#1084;&#1077;&#1085;&#1080;%20&#1076;&#1083;&#1103;%20&#1086;&#1073;&#1098;&#1077;&#1082;&#1090;&#1072;%20&#1042;&#1055;-021&#187;%20_&#1052;&#1054;%20&#1056;&#1060;_&#1040;&#1054;_&#1047;&#1072;&#1089;&#1083;&#1086;&#1085;_2019_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44;&#1040;&#1043;&#1050;%2007143.11\&#1044;&#1040;&#1043;&#1050;_07143.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a/Documents/&#1059;&#1046;&#1062;/Nash_raschet_shabl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Список"/>
      <sheetName val="макро"/>
      <sheetName val="ПП"/>
      <sheetName val="ПЗ"/>
      <sheetName val="БДР"/>
      <sheetName val="БДР УУ"/>
      <sheetName val="БДДС"/>
      <sheetName val="Кредиты"/>
      <sheetName val="Депозиты"/>
      <sheetName val="УП"/>
      <sheetName val="Зпл"/>
      <sheetName val="БВП"/>
      <sheetName val="БОПР"/>
      <sheetName val="БОХР"/>
      <sheetName val="НГ"/>
      <sheetName val="НГ_ОБЪЕКТ"/>
      <sheetName val="КР"/>
      <sheetName val="Бюджет прямых НР и НГ"/>
      <sheetName val="План ДДС по накладным"/>
      <sheetName val="ПДР"/>
      <sheetName val="ВГО"/>
      <sheetName val="ДПР"/>
      <sheetName val="СВОД_ОУ"/>
      <sheetName val="тех_ОУ"/>
      <sheetName val="ОУ1"/>
      <sheetName val="ОУ2"/>
      <sheetName val="ОУ3"/>
      <sheetName val="ОУ4"/>
      <sheetName val="ОУ5"/>
      <sheetName val="ОУ6"/>
      <sheetName val="ОУ7"/>
      <sheetName val="ОУ8"/>
      <sheetName val="ОУ9"/>
      <sheetName val="ОУ10"/>
      <sheetName val="ОУ11"/>
      <sheetName val="ОУ12"/>
      <sheetName val="ОУ13"/>
      <sheetName val="ОУ14"/>
      <sheetName val="ОУ15"/>
      <sheetName val="ОУ16"/>
      <sheetName val="ОУ17"/>
      <sheetName val="ОУ18"/>
      <sheetName val="ОУ19"/>
      <sheetName val="ОУ20"/>
      <sheetName val="ОУ21"/>
      <sheetName val="ОУ22"/>
      <sheetName val="ОУ23"/>
      <sheetName val="ОУ24"/>
      <sheetName val="ОУ25"/>
      <sheetName val="ОУ26"/>
      <sheetName val="ОУ27"/>
      <sheetName val="ОУ28"/>
      <sheetName val="ОУ29"/>
      <sheetName val="ОУ30"/>
      <sheetName val="ОУ31"/>
      <sheetName val="ОУ32"/>
      <sheetName val="ОУ33"/>
      <sheetName val="ОУ34"/>
      <sheetName val="ОУ35"/>
      <sheetName val="ОУ36"/>
      <sheetName val="ОУ37"/>
      <sheetName val="ОУ38"/>
      <sheetName val="ОУ39"/>
      <sheetName val="ОУ40"/>
      <sheetName val="ОУ41"/>
      <sheetName val="ОУ42"/>
      <sheetName val="ОУ43"/>
      <sheetName val="ОУ44"/>
      <sheetName val="ОУ45"/>
      <sheetName val="ОУ46"/>
      <sheetName val="ОУ47"/>
      <sheetName val="ОУ48"/>
      <sheetName val="ОУ49"/>
      <sheetName val="ОУ50"/>
      <sheetName val="ОУ51"/>
      <sheetName val="ОУ52"/>
      <sheetName val="ОУ53"/>
      <sheetName val="ОУ54"/>
      <sheetName val="ОУ55"/>
      <sheetName val="ОУ56"/>
      <sheetName val="ОУ57"/>
      <sheetName val="ОУ58"/>
      <sheetName val="ОУ59"/>
      <sheetName val="ОУ60"/>
      <sheetName val="ОУ61"/>
      <sheetName val="ОУ62"/>
      <sheetName val="ОУ63"/>
      <sheetName val="ОУ64"/>
      <sheetName val="ОУ65"/>
      <sheetName val="СВОД_ГОЗ"/>
      <sheetName val="СВОД_ВТС"/>
      <sheetName val="СВОД_ГП"/>
      <sheetName val="СВОД_Прочее"/>
      <sheetName val="СВОД_Общий"/>
      <sheetName val="ОУ_УУ"/>
      <sheetName val="ПТ"/>
      <sheetName val="СВОД_Инвестиции"/>
      <sheetName val="СВОД_Инвестиции_ПРОЕКТ"/>
      <sheetName val="Инвестиции (Капремонт)"/>
      <sheetName val="ПИР"/>
      <sheetName val="РИД"/>
      <sheetName val="Закупки опер МТР"/>
      <sheetName val="Закупки инвест МТР"/>
      <sheetName val="ДЗ КЗ"/>
      <sheetName val="Не предъявл. выручка"/>
      <sheetName val="Налоги"/>
      <sheetName val="Движение запасов"/>
      <sheetName val="Бюджет ремонтов"/>
      <sheetName val="НМА"/>
      <sheetName val="ОС"/>
      <sheetName val="БАЛАНС"/>
      <sheetName val="ЧП"/>
      <sheetName val="Благотворительность"/>
      <sheetName val="Mapping_БДР"/>
      <sheetName val="Mapping_БДДС"/>
      <sheetName val="xlaf"/>
    </sheetNames>
    <sheetDataSet>
      <sheetData sheetId="0"/>
      <sheetData sheetId="1">
        <row r="2">
          <cell r="D2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одули"/>
      <sheetName val="Россыпь"/>
      <sheetName val="Приборы"/>
    </sheetNames>
    <sheetDataSet>
      <sheetData sheetId="0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R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BA9">
            <v>0</v>
          </cell>
          <cell r="BB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U9">
            <v>0</v>
          </cell>
          <cell r="BV9">
            <v>0</v>
          </cell>
          <cell r="BW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N9">
            <v>0</v>
          </cell>
          <cell r="CO9">
            <v>0</v>
          </cell>
          <cell r="CP9">
            <v>0</v>
          </cell>
          <cell r="CS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L9">
            <v>0</v>
          </cell>
          <cell r="DM9">
            <v>0</v>
          </cell>
          <cell r="DO9">
            <v>0</v>
          </cell>
          <cell r="DQ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</row>
        <row r="10">
          <cell r="D10">
            <v>0</v>
          </cell>
          <cell r="E10">
            <v>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R10">
            <v>0</v>
          </cell>
          <cell r="V10">
            <v>0</v>
          </cell>
          <cell r="W10">
            <v>0</v>
          </cell>
          <cell r="X10">
            <v>5</v>
          </cell>
          <cell r="Y10">
            <v>1</v>
          </cell>
          <cell r="Z10">
            <v>0</v>
          </cell>
          <cell r="AA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2</v>
          </cell>
          <cell r="AL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2</v>
          </cell>
          <cell r="BA10">
            <v>0</v>
          </cell>
          <cell r="BB10">
            <v>0</v>
          </cell>
          <cell r="BH10">
            <v>0</v>
          </cell>
          <cell r="BI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U10">
            <v>0</v>
          </cell>
          <cell r="BV10">
            <v>0</v>
          </cell>
          <cell r="BW10">
            <v>2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N10">
            <v>0</v>
          </cell>
          <cell r="CO10">
            <v>0</v>
          </cell>
          <cell r="CP10">
            <v>0</v>
          </cell>
          <cell r="CS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L10">
            <v>0</v>
          </cell>
          <cell r="DM10">
            <v>0</v>
          </cell>
          <cell r="DO10">
            <v>0</v>
          </cell>
          <cell r="DQ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R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1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N11">
            <v>0</v>
          </cell>
          <cell r="AO11">
            <v>0</v>
          </cell>
          <cell r="AP11">
            <v>2</v>
          </cell>
          <cell r="AQ11">
            <v>0</v>
          </cell>
          <cell r="AR11">
            <v>0</v>
          </cell>
          <cell r="AS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BA11">
            <v>0</v>
          </cell>
          <cell r="BB11">
            <v>0</v>
          </cell>
          <cell r="BH11">
            <v>0</v>
          </cell>
          <cell r="BI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U11">
            <v>0</v>
          </cell>
          <cell r="BV11">
            <v>0</v>
          </cell>
          <cell r="BW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N11">
            <v>0</v>
          </cell>
          <cell r="CO11">
            <v>0</v>
          </cell>
          <cell r="CP11">
            <v>0</v>
          </cell>
          <cell r="CS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L11">
            <v>0</v>
          </cell>
          <cell r="DM11">
            <v>0</v>
          </cell>
          <cell r="DO11">
            <v>0</v>
          </cell>
          <cell r="DQ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R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BA12">
            <v>0</v>
          </cell>
          <cell r="BB12">
            <v>0</v>
          </cell>
          <cell r="BH12">
            <v>0</v>
          </cell>
          <cell r="BI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U12">
            <v>0</v>
          </cell>
          <cell r="BV12">
            <v>0</v>
          </cell>
          <cell r="BW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N12">
            <v>0</v>
          </cell>
          <cell r="CO12">
            <v>0</v>
          </cell>
          <cell r="CP12">
            <v>0</v>
          </cell>
          <cell r="CS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L12">
            <v>0</v>
          </cell>
          <cell r="DM12">
            <v>0</v>
          </cell>
          <cell r="DO12">
            <v>0</v>
          </cell>
          <cell r="DQ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R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1</v>
          </cell>
          <cell r="AI13">
            <v>2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BA13">
            <v>0</v>
          </cell>
          <cell r="BB13">
            <v>0</v>
          </cell>
          <cell r="BH13">
            <v>0</v>
          </cell>
          <cell r="BI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U13">
            <v>0</v>
          </cell>
          <cell r="BV13">
            <v>0</v>
          </cell>
          <cell r="BW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N13">
            <v>0</v>
          </cell>
          <cell r="CO13">
            <v>0</v>
          </cell>
          <cell r="CP13">
            <v>0</v>
          </cell>
          <cell r="CS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L13">
            <v>0</v>
          </cell>
          <cell r="DM13">
            <v>0</v>
          </cell>
          <cell r="DO13">
            <v>0</v>
          </cell>
          <cell r="DQ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</row>
        <row r="14"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R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BA14">
            <v>0</v>
          </cell>
          <cell r="BB14">
            <v>0</v>
          </cell>
          <cell r="BH14">
            <v>0</v>
          </cell>
          <cell r="BI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U14">
            <v>0</v>
          </cell>
          <cell r="BV14">
            <v>0</v>
          </cell>
          <cell r="BW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N14">
            <v>0</v>
          </cell>
          <cell r="CO14">
            <v>0</v>
          </cell>
          <cell r="CP14">
            <v>0</v>
          </cell>
          <cell r="CS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L14">
            <v>0</v>
          </cell>
          <cell r="DM14">
            <v>0</v>
          </cell>
          <cell r="DO14">
            <v>0</v>
          </cell>
          <cell r="DQ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R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U15">
            <v>0</v>
          </cell>
          <cell r="AV15">
            <v>0</v>
          </cell>
          <cell r="AW15">
            <v>2</v>
          </cell>
          <cell r="AX15">
            <v>0</v>
          </cell>
          <cell r="AY15">
            <v>0</v>
          </cell>
          <cell r="BA15">
            <v>0</v>
          </cell>
          <cell r="BB15">
            <v>0</v>
          </cell>
          <cell r="BH15">
            <v>0</v>
          </cell>
          <cell r="BI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U15">
            <v>0</v>
          </cell>
          <cell r="BV15">
            <v>0</v>
          </cell>
          <cell r="BW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N15">
            <v>0</v>
          </cell>
          <cell r="CO15">
            <v>0</v>
          </cell>
          <cell r="CP15">
            <v>0</v>
          </cell>
          <cell r="CS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L15">
            <v>0</v>
          </cell>
          <cell r="DM15">
            <v>0</v>
          </cell>
          <cell r="DO15">
            <v>0</v>
          </cell>
          <cell r="DQ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R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BA16">
            <v>0</v>
          </cell>
          <cell r="BB16">
            <v>0</v>
          </cell>
          <cell r="BH16">
            <v>0</v>
          </cell>
          <cell r="BI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U16">
            <v>0</v>
          </cell>
          <cell r="BV16">
            <v>0</v>
          </cell>
          <cell r="BW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N16">
            <v>0</v>
          </cell>
          <cell r="CO16">
            <v>0</v>
          </cell>
          <cell r="CP16">
            <v>0</v>
          </cell>
          <cell r="CS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L16">
            <v>0</v>
          </cell>
          <cell r="DM16">
            <v>0</v>
          </cell>
          <cell r="DO16">
            <v>0</v>
          </cell>
          <cell r="DQ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R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BA17">
            <v>0</v>
          </cell>
          <cell r="BB17">
            <v>0</v>
          </cell>
          <cell r="BH17">
            <v>0</v>
          </cell>
          <cell r="BI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U17">
            <v>0</v>
          </cell>
          <cell r="BV17">
            <v>0</v>
          </cell>
          <cell r="BW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N17">
            <v>0</v>
          </cell>
          <cell r="CO17">
            <v>0</v>
          </cell>
          <cell r="CP17">
            <v>0</v>
          </cell>
          <cell r="CS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L17">
            <v>0</v>
          </cell>
          <cell r="DM17">
            <v>0</v>
          </cell>
          <cell r="DO17">
            <v>0</v>
          </cell>
          <cell r="DQ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R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BA18">
            <v>0</v>
          </cell>
          <cell r="BB18">
            <v>0</v>
          </cell>
          <cell r="BH18">
            <v>0</v>
          </cell>
          <cell r="BI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U18">
            <v>0</v>
          </cell>
          <cell r="BV18">
            <v>0</v>
          </cell>
          <cell r="BW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N18">
            <v>0</v>
          </cell>
          <cell r="CO18">
            <v>0</v>
          </cell>
          <cell r="CP18">
            <v>0</v>
          </cell>
          <cell r="CS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L18">
            <v>0</v>
          </cell>
          <cell r="DM18">
            <v>0</v>
          </cell>
          <cell r="DO18">
            <v>0</v>
          </cell>
          <cell r="DQ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R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BA19">
            <v>0</v>
          </cell>
          <cell r="BB19">
            <v>0</v>
          </cell>
          <cell r="BH19">
            <v>0</v>
          </cell>
          <cell r="BI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U19">
            <v>0</v>
          </cell>
          <cell r="BV19">
            <v>0</v>
          </cell>
          <cell r="BW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N19">
            <v>0</v>
          </cell>
          <cell r="CO19">
            <v>0</v>
          </cell>
          <cell r="CP19">
            <v>0</v>
          </cell>
          <cell r="CS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L19">
            <v>0</v>
          </cell>
          <cell r="DM19">
            <v>0</v>
          </cell>
          <cell r="DO19">
            <v>0</v>
          </cell>
          <cell r="DQ19">
            <v>0</v>
          </cell>
          <cell r="DW19">
            <v>12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R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BA20">
            <v>0</v>
          </cell>
          <cell r="BB20">
            <v>0</v>
          </cell>
          <cell r="BH20">
            <v>0</v>
          </cell>
          <cell r="BI20">
            <v>0</v>
          </cell>
          <cell r="BL20">
            <v>0</v>
          </cell>
          <cell r="BM20">
            <v>6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U20">
            <v>0</v>
          </cell>
          <cell r="BV20">
            <v>0</v>
          </cell>
          <cell r="BW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N20">
            <v>0</v>
          </cell>
          <cell r="CO20">
            <v>0</v>
          </cell>
          <cell r="CP20">
            <v>0</v>
          </cell>
          <cell r="CS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L20">
            <v>0</v>
          </cell>
          <cell r="DM20">
            <v>0</v>
          </cell>
          <cell r="DO20">
            <v>0</v>
          </cell>
          <cell r="DQ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R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BA21">
            <v>0</v>
          </cell>
          <cell r="BB21">
            <v>0</v>
          </cell>
          <cell r="BH21">
            <v>0</v>
          </cell>
          <cell r="BI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U21">
            <v>0</v>
          </cell>
          <cell r="BV21">
            <v>0</v>
          </cell>
          <cell r="BW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N21">
            <v>0</v>
          </cell>
          <cell r="CO21">
            <v>0</v>
          </cell>
          <cell r="CP21">
            <v>0</v>
          </cell>
          <cell r="CS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L21">
            <v>0</v>
          </cell>
          <cell r="DM21">
            <v>0</v>
          </cell>
          <cell r="DO21">
            <v>0</v>
          </cell>
          <cell r="DQ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R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BA22">
            <v>0</v>
          </cell>
          <cell r="BB22">
            <v>0</v>
          </cell>
          <cell r="BH22">
            <v>0</v>
          </cell>
          <cell r="BI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U22">
            <v>0</v>
          </cell>
          <cell r="BV22">
            <v>0</v>
          </cell>
          <cell r="BW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N22">
            <v>0</v>
          </cell>
          <cell r="CO22">
            <v>0</v>
          </cell>
          <cell r="CP22">
            <v>0</v>
          </cell>
          <cell r="CS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L22">
            <v>0</v>
          </cell>
          <cell r="DM22">
            <v>0</v>
          </cell>
          <cell r="DO22">
            <v>0</v>
          </cell>
          <cell r="DQ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R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BA23">
            <v>0</v>
          </cell>
          <cell r="BB23">
            <v>0</v>
          </cell>
          <cell r="BH23">
            <v>0</v>
          </cell>
          <cell r="BI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U23">
            <v>0</v>
          </cell>
          <cell r="BV23">
            <v>0</v>
          </cell>
          <cell r="BW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N23">
            <v>0</v>
          </cell>
          <cell r="CO23">
            <v>0</v>
          </cell>
          <cell r="CP23">
            <v>0</v>
          </cell>
          <cell r="CS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L23">
            <v>0</v>
          </cell>
          <cell r="DM23">
            <v>0</v>
          </cell>
          <cell r="DO23">
            <v>0</v>
          </cell>
          <cell r="DQ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R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BA24">
            <v>0</v>
          </cell>
          <cell r="BB24">
            <v>0</v>
          </cell>
          <cell r="BH24">
            <v>0</v>
          </cell>
          <cell r="BI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U24">
            <v>0</v>
          </cell>
          <cell r="BV24">
            <v>0</v>
          </cell>
          <cell r="BW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1</v>
          </cell>
          <cell r="CD24">
            <v>0</v>
          </cell>
          <cell r="CE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N24">
            <v>0</v>
          </cell>
          <cell r="CO24">
            <v>0</v>
          </cell>
          <cell r="CP24">
            <v>0</v>
          </cell>
          <cell r="CS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L24">
            <v>0</v>
          </cell>
          <cell r="DM24">
            <v>0</v>
          </cell>
          <cell r="DO24">
            <v>0</v>
          </cell>
          <cell r="DQ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R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BA25">
            <v>0</v>
          </cell>
          <cell r="BB25">
            <v>0</v>
          </cell>
          <cell r="BH25">
            <v>0</v>
          </cell>
          <cell r="BI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U25">
            <v>0</v>
          </cell>
          <cell r="BV25">
            <v>0</v>
          </cell>
          <cell r="BW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N25">
            <v>0</v>
          </cell>
          <cell r="CO25">
            <v>0</v>
          </cell>
          <cell r="CP25">
            <v>0</v>
          </cell>
          <cell r="CS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L25">
            <v>0</v>
          </cell>
          <cell r="DM25">
            <v>0</v>
          </cell>
          <cell r="DO25">
            <v>0</v>
          </cell>
          <cell r="DQ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R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BA26">
            <v>0</v>
          </cell>
          <cell r="BB26">
            <v>0</v>
          </cell>
          <cell r="BH26">
            <v>0</v>
          </cell>
          <cell r="BI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U26">
            <v>0</v>
          </cell>
          <cell r="BV26">
            <v>0</v>
          </cell>
          <cell r="BW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N26">
            <v>0</v>
          </cell>
          <cell r="CO26">
            <v>0</v>
          </cell>
          <cell r="CP26">
            <v>0</v>
          </cell>
          <cell r="CS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L26">
            <v>0</v>
          </cell>
          <cell r="DM26">
            <v>0</v>
          </cell>
          <cell r="DO26">
            <v>0</v>
          </cell>
          <cell r="DQ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R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BA27">
            <v>0</v>
          </cell>
          <cell r="BB27">
            <v>0</v>
          </cell>
          <cell r="BH27">
            <v>0</v>
          </cell>
          <cell r="BI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U27">
            <v>0</v>
          </cell>
          <cell r="BV27">
            <v>0</v>
          </cell>
          <cell r="BW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N27">
            <v>0</v>
          </cell>
          <cell r="CO27">
            <v>0</v>
          </cell>
          <cell r="CP27">
            <v>0</v>
          </cell>
          <cell r="CS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L27">
            <v>0</v>
          </cell>
          <cell r="DM27">
            <v>0</v>
          </cell>
          <cell r="DO27">
            <v>0</v>
          </cell>
          <cell r="DQ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R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BA28">
            <v>0</v>
          </cell>
          <cell r="BB28">
            <v>0</v>
          </cell>
          <cell r="BH28">
            <v>0</v>
          </cell>
          <cell r="BI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U28">
            <v>0</v>
          </cell>
          <cell r="BV28">
            <v>0</v>
          </cell>
          <cell r="BW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N28">
            <v>0</v>
          </cell>
          <cell r="CO28">
            <v>0</v>
          </cell>
          <cell r="CP28">
            <v>0</v>
          </cell>
          <cell r="CS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L28">
            <v>0</v>
          </cell>
          <cell r="DM28">
            <v>0</v>
          </cell>
          <cell r="DO28">
            <v>0</v>
          </cell>
          <cell r="DQ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R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BA29">
            <v>0</v>
          </cell>
          <cell r="BB29">
            <v>0</v>
          </cell>
          <cell r="BH29">
            <v>0</v>
          </cell>
          <cell r="BI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U29">
            <v>0</v>
          </cell>
          <cell r="BV29">
            <v>0</v>
          </cell>
          <cell r="BW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N29">
            <v>0</v>
          </cell>
          <cell r="CO29">
            <v>0</v>
          </cell>
          <cell r="CP29">
            <v>0</v>
          </cell>
          <cell r="CS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L29">
            <v>0</v>
          </cell>
          <cell r="DM29">
            <v>0</v>
          </cell>
          <cell r="DO29">
            <v>0</v>
          </cell>
          <cell r="DQ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R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BA30">
            <v>0</v>
          </cell>
          <cell r="BB30">
            <v>0</v>
          </cell>
          <cell r="BH30">
            <v>0</v>
          </cell>
          <cell r="BI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U30">
            <v>0</v>
          </cell>
          <cell r="BV30">
            <v>0</v>
          </cell>
          <cell r="BW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N30">
            <v>0</v>
          </cell>
          <cell r="CO30">
            <v>0</v>
          </cell>
          <cell r="CP30">
            <v>0</v>
          </cell>
          <cell r="CS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L30">
            <v>0</v>
          </cell>
          <cell r="DM30">
            <v>0</v>
          </cell>
          <cell r="DO30">
            <v>0</v>
          </cell>
          <cell r="DQ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R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BA31">
            <v>0</v>
          </cell>
          <cell r="BB31">
            <v>0</v>
          </cell>
          <cell r="BH31">
            <v>0</v>
          </cell>
          <cell r="BI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U31">
            <v>0</v>
          </cell>
          <cell r="BV31">
            <v>0</v>
          </cell>
          <cell r="BW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N31">
            <v>0</v>
          </cell>
          <cell r="CO31">
            <v>0</v>
          </cell>
          <cell r="CP31">
            <v>0</v>
          </cell>
          <cell r="CS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L31">
            <v>0</v>
          </cell>
          <cell r="DM31">
            <v>0</v>
          </cell>
          <cell r="DO31">
            <v>0</v>
          </cell>
          <cell r="DQ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R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BA32">
            <v>0</v>
          </cell>
          <cell r="BB32">
            <v>0</v>
          </cell>
          <cell r="BH32">
            <v>0</v>
          </cell>
          <cell r="BI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U32">
            <v>0</v>
          </cell>
          <cell r="BV32">
            <v>0</v>
          </cell>
          <cell r="BW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N32">
            <v>0</v>
          </cell>
          <cell r="CO32">
            <v>0</v>
          </cell>
          <cell r="CP32">
            <v>0</v>
          </cell>
          <cell r="CS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L32">
            <v>0</v>
          </cell>
          <cell r="DM32">
            <v>0</v>
          </cell>
          <cell r="DO32">
            <v>0</v>
          </cell>
          <cell r="DQ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R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BA33">
            <v>0</v>
          </cell>
          <cell r="BB33">
            <v>0</v>
          </cell>
          <cell r="BH33">
            <v>0</v>
          </cell>
          <cell r="BI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U33">
            <v>0</v>
          </cell>
          <cell r="BV33">
            <v>0</v>
          </cell>
          <cell r="BW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N33">
            <v>0</v>
          </cell>
          <cell r="CO33">
            <v>0</v>
          </cell>
          <cell r="CP33">
            <v>0</v>
          </cell>
          <cell r="CS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L33">
            <v>0</v>
          </cell>
          <cell r="DM33">
            <v>0</v>
          </cell>
          <cell r="DO33">
            <v>0</v>
          </cell>
          <cell r="DQ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R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BA34">
            <v>0</v>
          </cell>
          <cell r="BB34">
            <v>0</v>
          </cell>
          <cell r="BH34">
            <v>0</v>
          </cell>
          <cell r="BI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U34">
            <v>0</v>
          </cell>
          <cell r="BV34">
            <v>0</v>
          </cell>
          <cell r="BW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N34">
            <v>0</v>
          </cell>
          <cell r="CO34">
            <v>0</v>
          </cell>
          <cell r="CP34">
            <v>0</v>
          </cell>
          <cell r="CS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L34">
            <v>0</v>
          </cell>
          <cell r="DM34">
            <v>0</v>
          </cell>
          <cell r="DO34">
            <v>0</v>
          </cell>
          <cell r="DQ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R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BA35">
            <v>0</v>
          </cell>
          <cell r="BB35">
            <v>0</v>
          </cell>
          <cell r="BH35">
            <v>0</v>
          </cell>
          <cell r="BI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U35">
            <v>0</v>
          </cell>
          <cell r="BV35">
            <v>0</v>
          </cell>
          <cell r="BW35">
            <v>1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1</v>
          </cell>
          <cell r="CE35">
            <v>0</v>
          </cell>
          <cell r="CH35">
            <v>0</v>
          </cell>
          <cell r="CI35">
            <v>1</v>
          </cell>
          <cell r="CJ35">
            <v>1</v>
          </cell>
          <cell r="CK35">
            <v>1</v>
          </cell>
          <cell r="CN35">
            <v>1</v>
          </cell>
          <cell r="CO35">
            <v>0</v>
          </cell>
          <cell r="CP35">
            <v>0</v>
          </cell>
          <cell r="CS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L35">
            <v>0</v>
          </cell>
          <cell r="DM35">
            <v>0</v>
          </cell>
          <cell r="DO35">
            <v>0</v>
          </cell>
          <cell r="DQ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R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BA36">
            <v>0</v>
          </cell>
          <cell r="BB36">
            <v>0</v>
          </cell>
          <cell r="BH36">
            <v>0</v>
          </cell>
          <cell r="BI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U36">
            <v>0</v>
          </cell>
          <cell r="BV36">
            <v>0</v>
          </cell>
          <cell r="BW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N36">
            <v>0</v>
          </cell>
          <cell r="CO36">
            <v>0</v>
          </cell>
          <cell r="CP36">
            <v>0</v>
          </cell>
          <cell r="CS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L36">
            <v>0</v>
          </cell>
          <cell r="DM36">
            <v>0</v>
          </cell>
          <cell r="DO36">
            <v>0</v>
          </cell>
          <cell r="DQ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R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BA37">
            <v>0</v>
          </cell>
          <cell r="BB37">
            <v>0</v>
          </cell>
          <cell r="BH37">
            <v>0</v>
          </cell>
          <cell r="BI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U37">
            <v>0</v>
          </cell>
          <cell r="BV37">
            <v>0</v>
          </cell>
          <cell r="BW37">
            <v>1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N37">
            <v>0</v>
          </cell>
          <cell r="CO37">
            <v>0</v>
          </cell>
          <cell r="CP37">
            <v>0</v>
          </cell>
          <cell r="CS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L37">
            <v>0</v>
          </cell>
          <cell r="DM37">
            <v>0</v>
          </cell>
          <cell r="DO37">
            <v>0</v>
          </cell>
          <cell r="DQ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R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BA38">
            <v>1</v>
          </cell>
          <cell r="BB38">
            <v>1</v>
          </cell>
          <cell r="BH38">
            <v>0</v>
          </cell>
          <cell r="BI38">
            <v>0</v>
          </cell>
          <cell r="BL38">
            <v>1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U38">
            <v>0</v>
          </cell>
          <cell r="BV38">
            <v>0</v>
          </cell>
          <cell r="BW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N38">
            <v>0</v>
          </cell>
          <cell r="CO38">
            <v>0</v>
          </cell>
          <cell r="CP38">
            <v>0</v>
          </cell>
          <cell r="CS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L38">
            <v>0</v>
          </cell>
          <cell r="DM38">
            <v>0</v>
          </cell>
          <cell r="DO38">
            <v>0</v>
          </cell>
          <cell r="DQ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R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BA39">
            <v>1</v>
          </cell>
          <cell r="BB39">
            <v>1</v>
          </cell>
          <cell r="BH39">
            <v>0</v>
          </cell>
          <cell r="BI39">
            <v>0</v>
          </cell>
          <cell r="BL39">
            <v>1</v>
          </cell>
          <cell r="BM39">
            <v>1</v>
          </cell>
          <cell r="BN39">
            <v>1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U39">
            <v>0</v>
          </cell>
          <cell r="BV39">
            <v>0</v>
          </cell>
          <cell r="BW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N39">
            <v>0</v>
          </cell>
          <cell r="CO39">
            <v>0</v>
          </cell>
          <cell r="CP39">
            <v>0</v>
          </cell>
          <cell r="CS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L39">
            <v>0</v>
          </cell>
          <cell r="DM39">
            <v>0</v>
          </cell>
          <cell r="DO39">
            <v>0</v>
          </cell>
          <cell r="DQ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R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BA40">
            <v>0</v>
          </cell>
          <cell r="BB40">
            <v>0</v>
          </cell>
          <cell r="BH40">
            <v>0</v>
          </cell>
          <cell r="BI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U40">
            <v>0</v>
          </cell>
          <cell r="BV40">
            <v>0</v>
          </cell>
          <cell r="BW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N40">
            <v>0</v>
          </cell>
          <cell r="CO40">
            <v>0</v>
          </cell>
          <cell r="CP40">
            <v>0</v>
          </cell>
          <cell r="CS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L40">
            <v>0</v>
          </cell>
          <cell r="DM40">
            <v>0</v>
          </cell>
          <cell r="DO40">
            <v>0</v>
          </cell>
          <cell r="DQ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</row>
        <row r="41">
          <cell r="D41">
            <v>1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R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BA41">
            <v>0</v>
          </cell>
          <cell r="BB41">
            <v>0</v>
          </cell>
          <cell r="BH41">
            <v>0</v>
          </cell>
          <cell r="BI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U41">
            <v>0</v>
          </cell>
          <cell r="BV41">
            <v>0</v>
          </cell>
          <cell r="BW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N41">
            <v>0</v>
          </cell>
          <cell r="CO41">
            <v>0</v>
          </cell>
          <cell r="CP41">
            <v>0</v>
          </cell>
          <cell r="CS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L41">
            <v>0</v>
          </cell>
          <cell r="DM41">
            <v>0</v>
          </cell>
          <cell r="DO41">
            <v>0</v>
          </cell>
          <cell r="DQ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R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BA42">
            <v>0</v>
          </cell>
          <cell r="BB42">
            <v>0</v>
          </cell>
          <cell r="BH42">
            <v>0</v>
          </cell>
          <cell r="BI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U42">
            <v>0</v>
          </cell>
          <cell r="BV42">
            <v>0</v>
          </cell>
          <cell r="BW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N42">
            <v>0</v>
          </cell>
          <cell r="CO42">
            <v>0</v>
          </cell>
          <cell r="CP42">
            <v>0</v>
          </cell>
          <cell r="CS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L42">
            <v>0</v>
          </cell>
          <cell r="DM42">
            <v>0</v>
          </cell>
          <cell r="DO42">
            <v>0</v>
          </cell>
          <cell r="DQ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R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BA43">
            <v>0</v>
          </cell>
          <cell r="BB43">
            <v>0</v>
          </cell>
          <cell r="BH43">
            <v>0</v>
          </cell>
          <cell r="BI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U43">
            <v>0</v>
          </cell>
          <cell r="BV43">
            <v>0</v>
          </cell>
          <cell r="BW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N43">
            <v>0</v>
          </cell>
          <cell r="CO43">
            <v>0</v>
          </cell>
          <cell r="CP43">
            <v>0</v>
          </cell>
          <cell r="CS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L43">
            <v>0</v>
          </cell>
          <cell r="DM43">
            <v>0</v>
          </cell>
          <cell r="DO43">
            <v>0</v>
          </cell>
          <cell r="DQ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R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BA44">
            <v>0</v>
          </cell>
          <cell r="BB44">
            <v>0</v>
          </cell>
          <cell r="BH44">
            <v>0</v>
          </cell>
          <cell r="BI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U44">
            <v>0</v>
          </cell>
          <cell r="BV44">
            <v>0</v>
          </cell>
          <cell r="BW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N44">
            <v>0</v>
          </cell>
          <cell r="CO44">
            <v>0</v>
          </cell>
          <cell r="CP44">
            <v>0</v>
          </cell>
          <cell r="CS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L44">
            <v>0</v>
          </cell>
          <cell r="DM44">
            <v>0</v>
          </cell>
          <cell r="DO44">
            <v>0</v>
          </cell>
          <cell r="DQ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R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BA45">
            <v>0</v>
          </cell>
          <cell r="BB45">
            <v>0</v>
          </cell>
          <cell r="BH45">
            <v>0</v>
          </cell>
          <cell r="BI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U45">
            <v>0</v>
          </cell>
          <cell r="BV45">
            <v>0</v>
          </cell>
          <cell r="BW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N45">
            <v>0</v>
          </cell>
          <cell r="CO45">
            <v>0</v>
          </cell>
          <cell r="CP45">
            <v>0</v>
          </cell>
          <cell r="CS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L45">
            <v>0</v>
          </cell>
          <cell r="DM45">
            <v>0</v>
          </cell>
          <cell r="DO45">
            <v>0</v>
          </cell>
          <cell r="DQ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R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BA46">
            <v>0</v>
          </cell>
          <cell r="BB46">
            <v>0</v>
          </cell>
          <cell r="BH46">
            <v>0</v>
          </cell>
          <cell r="BI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U46">
            <v>0</v>
          </cell>
          <cell r="BV46">
            <v>0</v>
          </cell>
          <cell r="BW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N46">
            <v>0</v>
          </cell>
          <cell r="CO46">
            <v>0</v>
          </cell>
          <cell r="CP46">
            <v>0</v>
          </cell>
          <cell r="CS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L46">
            <v>0</v>
          </cell>
          <cell r="DM46">
            <v>0</v>
          </cell>
          <cell r="DO46">
            <v>0</v>
          </cell>
          <cell r="DQ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R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BA47">
            <v>0</v>
          </cell>
          <cell r="BB47">
            <v>0</v>
          </cell>
          <cell r="BH47">
            <v>0</v>
          </cell>
          <cell r="BI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U47">
            <v>0</v>
          </cell>
          <cell r="BV47">
            <v>0</v>
          </cell>
          <cell r="BW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N47">
            <v>0</v>
          </cell>
          <cell r="CO47">
            <v>0</v>
          </cell>
          <cell r="CP47">
            <v>0</v>
          </cell>
          <cell r="CS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L47">
            <v>0</v>
          </cell>
          <cell r="DM47">
            <v>0</v>
          </cell>
          <cell r="DO47">
            <v>0</v>
          </cell>
          <cell r="DQ47">
            <v>0</v>
          </cell>
          <cell r="DW47">
            <v>1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1</v>
          </cell>
          <cell r="I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R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BA48">
            <v>0</v>
          </cell>
          <cell r="BB48">
            <v>0</v>
          </cell>
          <cell r="BH48">
            <v>0</v>
          </cell>
          <cell r="BI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U48">
            <v>0</v>
          </cell>
          <cell r="BV48">
            <v>0</v>
          </cell>
          <cell r="BW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N48">
            <v>0</v>
          </cell>
          <cell r="CO48">
            <v>0</v>
          </cell>
          <cell r="CP48">
            <v>0</v>
          </cell>
          <cell r="CS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L48">
            <v>0</v>
          </cell>
          <cell r="DM48">
            <v>0</v>
          </cell>
          <cell r="DO48">
            <v>0</v>
          </cell>
          <cell r="DQ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R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BA49">
            <v>0</v>
          </cell>
          <cell r="BB49">
            <v>0</v>
          </cell>
          <cell r="BH49">
            <v>0</v>
          </cell>
          <cell r="BI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U49">
            <v>0</v>
          </cell>
          <cell r="BV49">
            <v>0</v>
          </cell>
          <cell r="BW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N49">
            <v>0</v>
          </cell>
          <cell r="CO49">
            <v>0</v>
          </cell>
          <cell r="CP49">
            <v>0</v>
          </cell>
          <cell r="CS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L49">
            <v>0</v>
          </cell>
          <cell r="DM49">
            <v>0</v>
          </cell>
          <cell r="DO49">
            <v>0</v>
          </cell>
          <cell r="DQ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R50">
            <v>0</v>
          </cell>
          <cell r="V50">
            <v>0</v>
          </cell>
          <cell r="W50">
            <v>1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BA50">
            <v>0</v>
          </cell>
          <cell r="BB50">
            <v>0</v>
          </cell>
          <cell r="BH50">
            <v>0</v>
          </cell>
          <cell r="BI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U50">
            <v>0</v>
          </cell>
          <cell r="BV50">
            <v>0</v>
          </cell>
          <cell r="BW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N50">
            <v>0</v>
          </cell>
          <cell r="CO50">
            <v>0</v>
          </cell>
          <cell r="CP50">
            <v>0</v>
          </cell>
          <cell r="CS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1</v>
          </cell>
          <cell r="DF50">
            <v>0</v>
          </cell>
          <cell r="DG50">
            <v>0</v>
          </cell>
          <cell r="DH50">
            <v>0</v>
          </cell>
          <cell r="DL50">
            <v>0</v>
          </cell>
          <cell r="DM50">
            <v>0</v>
          </cell>
          <cell r="DO50">
            <v>0</v>
          </cell>
          <cell r="DQ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R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BA51">
            <v>0</v>
          </cell>
          <cell r="BB51">
            <v>0</v>
          </cell>
          <cell r="BH51">
            <v>0</v>
          </cell>
          <cell r="BI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U51">
            <v>0</v>
          </cell>
          <cell r="BV51">
            <v>0</v>
          </cell>
          <cell r="BW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N51">
            <v>0</v>
          </cell>
          <cell r="CO51">
            <v>0</v>
          </cell>
          <cell r="CP51">
            <v>0</v>
          </cell>
          <cell r="CS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L51">
            <v>0</v>
          </cell>
          <cell r="DM51">
            <v>0</v>
          </cell>
          <cell r="DO51">
            <v>0</v>
          </cell>
          <cell r="DQ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R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BA52">
            <v>0</v>
          </cell>
          <cell r="BB52">
            <v>0</v>
          </cell>
          <cell r="BH52">
            <v>0</v>
          </cell>
          <cell r="BI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U52">
            <v>0</v>
          </cell>
          <cell r="BV52">
            <v>0</v>
          </cell>
          <cell r="BW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N52">
            <v>0</v>
          </cell>
          <cell r="CO52">
            <v>0</v>
          </cell>
          <cell r="CP52">
            <v>0</v>
          </cell>
          <cell r="CS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L52">
            <v>0</v>
          </cell>
          <cell r="DM52">
            <v>0</v>
          </cell>
          <cell r="DO52">
            <v>0</v>
          </cell>
          <cell r="DQ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R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1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BA53">
            <v>0</v>
          </cell>
          <cell r="BB53">
            <v>0</v>
          </cell>
          <cell r="BH53">
            <v>0</v>
          </cell>
          <cell r="BI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U53">
            <v>0</v>
          </cell>
          <cell r="BV53">
            <v>0</v>
          </cell>
          <cell r="BW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N53">
            <v>0</v>
          </cell>
          <cell r="CO53">
            <v>0</v>
          </cell>
          <cell r="CP53">
            <v>0</v>
          </cell>
          <cell r="CS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L53">
            <v>0</v>
          </cell>
          <cell r="DM53">
            <v>0</v>
          </cell>
          <cell r="DO53">
            <v>0</v>
          </cell>
          <cell r="DQ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R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BA54">
            <v>0</v>
          </cell>
          <cell r="BB54">
            <v>0</v>
          </cell>
          <cell r="BH54">
            <v>0</v>
          </cell>
          <cell r="BI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U54">
            <v>0</v>
          </cell>
          <cell r="BV54">
            <v>0</v>
          </cell>
          <cell r="BW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N54">
            <v>0</v>
          </cell>
          <cell r="CO54">
            <v>0</v>
          </cell>
          <cell r="CP54">
            <v>0</v>
          </cell>
          <cell r="CS54">
            <v>0</v>
          </cell>
          <cell r="CU54">
            <v>0</v>
          </cell>
          <cell r="CV54">
            <v>0</v>
          </cell>
          <cell r="CW54">
            <v>1</v>
          </cell>
          <cell r="CX54">
            <v>0</v>
          </cell>
          <cell r="CY54">
            <v>0</v>
          </cell>
          <cell r="CZ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L54">
            <v>0</v>
          </cell>
          <cell r="DM54">
            <v>0</v>
          </cell>
          <cell r="DO54">
            <v>0</v>
          </cell>
          <cell r="DQ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R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BA55">
            <v>0</v>
          </cell>
          <cell r="BB55">
            <v>0</v>
          </cell>
          <cell r="BH55">
            <v>0</v>
          </cell>
          <cell r="BI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U55">
            <v>0</v>
          </cell>
          <cell r="BV55">
            <v>0</v>
          </cell>
          <cell r="BW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N55">
            <v>0</v>
          </cell>
          <cell r="CO55">
            <v>0</v>
          </cell>
          <cell r="CP55">
            <v>0</v>
          </cell>
          <cell r="CS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L55">
            <v>0</v>
          </cell>
          <cell r="DM55">
            <v>0</v>
          </cell>
          <cell r="DO55">
            <v>0</v>
          </cell>
          <cell r="DQ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R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BA56">
            <v>0</v>
          </cell>
          <cell r="BB56">
            <v>0</v>
          </cell>
          <cell r="BH56">
            <v>0</v>
          </cell>
          <cell r="BI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U56">
            <v>0</v>
          </cell>
          <cell r="BV56">
            <v>0</v>
          </cell>
          <cell r="BW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N56">
            <v>0</v>
          </cell>
          <cell r="CO56">
            <v>0</v>
          </cell>
          <cell r="CP56">
            <v>0</v>
          </cell>
          <cell r="CS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L56">
            <v>0</v>
          </cell>
          <cell r="DM56">
            <v>0</v>
          </cell>
          <cell r="DO56">
            <v>0</v>
          </cell>
          <cell r="DQ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BA57">
            <v>0</v>
          </cell>
          <cell r="BB57">
            <v>0</v>
          </cell>
          <cell r="BH57">
            <v>0</v>
          </cell>
          <cell r="BI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U57">
            <v>0</v>
          </cell>
          <cell r="BV57">
            <v>0</v>
          </cell>
          <cell r="BW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N57">
            <v>0</v>
          </cell>
          <cell r="CO57">
            <v>0</v>
          </cell>
          <cell r="CP57">
            <v>0</v>
          </cell>
          <cell r="CS57">
            <v>1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L57">
            <v>0</v>
          </cell>
          <cell r="DM57">
            <v>0</v>
          </cell>
          <cell r="DO57">
            <v>0</v>
          </cell>
          <cell r="DQ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R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BA58">
            <v>0</v>
          </cell>
          <cell r="BB58">
            <v>0</v>
          </cell>
          <cell r="BH58">
            <v>0</v>
          </cell>
          <cell r="BI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1</v>
          </cell>
          <cell r="BP58">
            <v>0</v>
          </cell>
          <cell r="BQ58">
            <v>1</v>
          </cell>
          <cell r="BR58">
            <v>1</v>
          </cell>
          <cell r="BS58">
            <v>1</v>
          </cell>
          <cell r="BU58">
            <v>0</v>
          </cell>
          <cell r="BV58">
            <v>1</v>
          </cell>
          <cell r="BW58">
            <v>0</v>
          </cell>
          <cell r="BZ58">
            <v>1</v>
          </cell>
          <cell r="CA58">
            <v>1</v>
          </cell>
          <cell r="CB58">
            <v>2</v>
          </cell>
          <cell r="CC58">
            <v>1</v>
          </cell>
          <cell r="CD58">
            <v>0</v>
          </cell>
          <cell r="CE58">
            <v>1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N58">
            <v>0</v>
          </cell>
          <cell r="CO58">
            <v>1</v>
          </cell>
          <cell r="CP58">
            <v>1</v>
          </cell>
          <cell r="CS58">
            <v>1</v>
          </cell>
          <cell r="CU58">
            <v>2</v>
          </cell>
          <cell r="CV58">
            <v>1</v>
          </cell>
          <cell r="CW58">
            <v>1</v>
          </cell>
          <cell r="CX58">
            <v>0</v>
          </cell>
          <cell r="CY58">
            <v>1</v>
          </cell>
          <cell r="CZ58">
            <v>2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L58">
            <v>1</v>
          </cell>
          <cell r="DM58">
            <v>1</v>
          </cell>
          <cell r="DO58">
            <v>0</v>
          </cell>
          <cell r="DQ58">
            <v>0</v>
          </cell>
          <cell r="DW58">
            <v>5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R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BA59">
            <v>0</v>
          </cell>
          <cell r="BB59">
            <v>0</v>
          </cell>
          <cell r="BH59">
            <v>0</v>
          </cell>
          <cell r="BI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U59">
            <v>0</v>
          </cell>
          <cell r="BV59">
            <v>0</v>
          </cell>
          <cell r="BW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N59">
            <v>0</v>
          </cell>
          <cell r="CO59">
            <v>0</v>
          </cell>
          <cell r="CP59">
            <v>0</v>
          </cell>
          <cell r="CS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L59">
            <v>0</v>
          </cell>
          <cell r="DM59">
            <v>0</v>
          </cell>
          <cell r="DO59">
            <v>0</v>
          </cell>
          <cell r="DQ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R60">
            <v>0</v>
          </cell>
          <cell r="V60">
            <v>0</v>
          </cell>
          <cell r="W60">
            <v>2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BA60">
            <v>0</v>
          </cell>
          <cell r="BB60">
            <v>0</v>
          </cell>
          <cell r="BH60">
            <v>0</v>
          </cell>
          <cell r="BI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U60">
            <v>0</v>
          </cell>
          <cell r="BV60">
            <v>0</v>
          </cell>
          <cell r="BW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N60">
            <v>0</v>
          </cell>
          <cell r="CO60">
            <v>0</v>
          </cell>
          <cell r="CP60">
            <v>0</v>
          </cell>
          <cell r="CS60">
            <v>0</v>
          </cell>
          <cell r="CU60">
            <v>0</v>
          </cell>
          <cell r="CV60">
            <v>1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1</v>
          </cell>
          <cell r="DF60">
            <v>1</v>
          </cell>
          <cell r="DG60">
            <v>0</v>
          </cell>
          <cell r="DH60">
            <v>0</v>
          </cell>
          <cell r="DL60">
            <v>0</v>
          </cell>
          <cell r="DM60">
            <v>0</v>
          </cell>
          <cell r="DO60">
            <v>0</v>
          </cell>
          <cell r="DQ60">
            <v>0</v>
          </cell>
          <cell r="DW60">
            <v>0</v>
          </cell>
          <cell r="DX60">
            <v>0</v>
          </cell>
          <cell r="DY60">
            <v>1</v>
          </cell>
          <cell r="DZ60">
            <v>0</v>
          </cell>
          <cell r="EA60">
            <v>0</v>
          </cell>
          <cell r="EB60">
            <v>0</v>
          </cell>
          <cell r="EC60">
            <v>1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R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1</v>
          </cell>
          <cell r="AS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BA61">
            <v>0</v>
          </cell>
          <cell r="BB61">
            <v>0</v>
          </cell>
          <cell r="BH61">
            <v>0</v>
          </cell>
          <cell r="BI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U61">
            <v>1</v>
          </cell>
          <cell r="BV61">
            <v>0</v>
          </cell>
          <cell r="BW61">
            <v>0</v>
          </cell>
          <cell r="BZ61">
            <v>3</v>
          </cell>
          <cell r="CA61">
            <v>0</v>
          </cell>
          <cell r="CB61">
            <v>3</v>
          </cell>
          <cell r="CC61">
            <v>0</v>
          </cell>
          <cell r="CD61">
            <v>0</v>
          </cell>
          <cell r="CE61">
            <v>0</v>
          </cell>
          <cell r="CH61">
            <v>1</v>
          </cell>
          <cell r="CI61">
            <v>0</v>
          </cell>
          <cell r="CJ61">
            <v>0</v>
          </cell>
          <cell r="CK61">
            <v>1</v>
          </cell>
          <cell r="CN61">
            <v>1</v>
          </cell>
          <cell r="CO61">
            <v>1</v>
          </cell>
          <cell r="CP61">
            <v>1</v>
          </cell>
          <cell r="CS61">
            <v>1</v>
          </cell>
          <cell r="CU61">
            <v>3</v>
          </cell>
          <cell r="CV61">
            <v>0</v>
          </cell>
          <cell r="CW61">
            <v>1</v>
          </cell>
          <cell r="CX61">
            <v>0</v>
          </cell>
          <cell r="CY61">
            <v>1</v>
          </cell>
          <cell r="CZ61">
            <v>1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L61">
            <v>1</v>
          </cell>
          <cell r="DM61">
            <v>1</v>
          </cell>
          <cell r="DO61">
            <v>0</v>
          </cell>
          <cell r="DQ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R62">
            <v>0</v>
          </cell>
          <cell r="V62">
            <v>0</v>
          </cell>
          <cell r="W62">
            <v>3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BA62">
            <v>0</v>
          </cell>
          <cell r="BB62">
            <v>0</v>
          </cell>
          <cell r="BH62">
            <v>0</v>
          </cell>
          <cell r="BI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U62">
            <v>0</v>
          </cell>
          <cell r="BV62">
            <v>0</v>
          </cell>
          <cell r="BW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N62">
            <v>0</v>
          </cell>
          <cell r="CO62">
            <v>0</v>
          </cell>
          <cell r="CP62">
            <v>0</v>
          </cell>
          <cell r="CS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3</v>
          </cell>
          <cell r="DF62">
            <v>0</v>
          </cell>
          <cell r="DG62">
            <v>0</v>
          </cell>
          <cell r="DH62">
            <v>0</v>
          </cell>
          <cell r="DL62">
            <v>0</v>
          </cell>
          <cell r="DM62">
            <v>0</v>
          </cell>
          <cell r="DO62">
            <v>0</v>
          </cell>
          <cell r="DQ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R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BA63">
            <v>0</v>
          </cell>
          <cell r="BB63">
            <v>0</v>
          </cell>
          <cell r="BH63">
            <v>0</v>
          </cell>
          <cell r="BI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U63">
            <v>0</v>
          </cell>
          <cell r="BV63">
            <v>0</v>
          </cell>
          <cell r="BW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N63">
            <v>0</v>
          </cell>
          <cell r="CO63">
            <v>0</v>
          </cell>
          <cell r="CP63">
            <v>0</v>
          </cell>
          <cell r="CS63">
            <v>1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1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L63">
            <v>0</v>
          </cell>
          <cell r="DM63">
            <v>0</v>
          </cell>
          <cell r="DO63">
            <v>0</v>
          </cell>
          <cell r="DQ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R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BA64">
            <v>0</v>
          </cell>
          <cell r="BB64">
            <v>0</v>
          </cell>
          <cell r="BH64">
            <v>0</v>
          </cell>
          <cell r="BI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U64">
            <v>0</v>
          </cell>
          <cell r="BV64">
            <v>0</v>
          </cell>
          <cell r="BW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N64">
            <v>0</v>
          </cell>
          <cell r="CO64">
            <v>0</v>
          </cell>
          <cell r="CP64">
            <v>0</v>
          </cell>
          <cell r="CS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L64">
            <v>0</v>
          </cell>
          <cell r="DM64">
            <v>0</v>
          </cell>
          <cell r="DO64">
            <v>0</v>
          </cell>
          <cell r="DQ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1</v>
          </cell>
          <cell r="EA64">
            <v>0</v>
          </cell>
          <cell r="EB64">
            <v>4</v>
          </cell>
          <cell r="EC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R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BA65">
            <v>0</v>
          </cell>
          <cell r="BB65">
            <v>0</v>
          </cell>
          <cell r="BH65">
            <v>0</v>
          </cell>
          <cell r="BI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U65">
            <v>1</v>
          </cell>
          <cell r="BV65">
            <v>0</v>
          </cell>
          <cell r="BW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N65">
            <v>0</v>
          </cell>
          <cell r="CO65">
            <v>0</v>
          </cell>
          <cell r="CP65">
            <v>0</v>
          </cell>
          <cell r="CS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L65">
            <v>0</v>
          </cell>
          <cell r="DM65">
            <v>0</v>
          </cell>
          <cell r="DO65">
            <v>0</v>
          </cell>
          <cell r="DQ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R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BA66">
            <v>0</v>
          </cell>
          <cell r="BB66">
            <v>0</v>
          </cell>
          <cell r="BH66">
            <v>0</v>
          </cell>
          <cell r="BI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U66">
            <v>0</v>
          </cell>
          <cell r="BV66">
            <v>0</v>
          </cell>
          <cell r="BW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N66">
            <v>0</v>
          </cell>
          <cell r="CO66">
            <v>0</v>
          </cell>
          <cell r="CP66">
            <v>0</v>
          </cell>
          <cell r="CS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L66">
            <v>0</v>
          </cell>
          <cell r="DM66">
            <v>0</v>
          </cell>
          <cell r="DO66">
            <v>0</v>
          </cell>
          <cell r="DQ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1</v>
          </cell>
          <cell r="EA66">
            <v>0</v>
          </cell>
          <cell r="EB66">
            <v>0</v>
          </cell>
          <cell r="EC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R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BA67">
            <v>0</v>
          </cell>
          <cell r="BB67">
            <v>0</v>
          </cell>
          <cell r="BH67">
            <v>0</v>
          </cell>
          <cell r="BI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U67">
            <v>0</v>
          </cell>
          <cell r="BV67">
            <v>1</v>
          </cell>
          <cell r="BW67">
            <v>0</v>
          </cell>
          <cell r="BZ67">
            <v>0</v>
          </cell>
          <cell r="CA67">
            <v>1</v>
          </cell>
          <cell r="CB67">
            <v>0</v>
          </cell>
          <cell r="CC67">
            <v>1</v>
          </cell>
          <cell r="CD67">
            <v>0</v>
          </cell>
          <cell r="CE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N67">
            <v>0</v>
          </cell>
          <cell r="CO67">
            <v>0</v>
          </cell>
          <cell r="CP67">
            <v>0</v>
          </cell>
          <cell r="CS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L67">
            <v>0</v>
          </cell>
          <cell r="DM67">
            <v>0</v>
          </cell>
          <cell r="DO67">
            <v>0</v>
          </cell>
          <cell r="DQ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R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BA68">
            <v>0</v>
          </cell>
          <cell r="BB68">
            <v>0</v>
          </cell>
          <cell r="BH68">
            <v>0</v>
          </cell>
          <cell r="BI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U68">
            <v>0</v>
          </cell>
          <cell r="BV68">
            <v>0</v>
          </cell>
          <cell r="BW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N68">
            <v>0</v>
          </cell>
          <cell r="CO68">
            <v>0</v>
          </cell>
          <cell r="CP68">
            <v>0</v>
          </cell>
          <cell r="CS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B68">
            <v>0</v>
          </cell>
          <cell r="DC68">
            <v>1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L68">
            <v>0</v>
          </cell>
          <cell r="DM68">
            <v>0</v>
          </cell>
          <cell r="DO68">
            <v>0</v>
          </cell>
          <cell r="DQ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R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BA69">
            <v>0</v>
          </cell>
          <cell r="BB69">
            <v>0</v>
          </cell>
          <cell r="BH69">
            <v>0</v>
          </cell>
          <cell r="BI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U69">
            <v>0</v>
          </cell>
          <cell r="BV69">
            <v>0</v>
          </cell>
          <cell r="BW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N69">
            <v>0</v>
          </cell>
          <cell r="CO69">
            <v>0</v>
          </cell>
          <cell r="CP69">
            <v>0</v>
          </cell>
          <cell r="CS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L69">
            <v>0</v>
          </cell>
          <cell r="DM69">
            <v>0</v>
          </cell>
          <cell r="DO69">
            <v>0</v>
          </cell>
          <cell r="DQ69">
            <v>0</v>
          </cell>
          <cell r="DW69">
            <v>1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R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BA70">
            <v>0</v>
          </cell>
          <cell r="BB70">
            <v>0</v>
          </cell>
          <cell r="BH70">
            <v>0</v>
          </cell>
          <cell r="BI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U70">
            <v>0</v>
          </cell>
          <cell r="BV70">
            <v>0</v>
          </cell>
          <cell r="BW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N70">
            <v>0</v>
          </cell>
          <cell r="CO70">
            <v>0</v>
          </cell>
          <cell r="CP70">
            <v>0</v>
          </cell>
          <cell r="CS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L70">
            <v>0</v>
          </cell>
          <cell r="DM70">
            <v>0</v>
          </cell>
          <cell r="DO70">
            <v>0</v>
          </cell>
          <cell r="DQ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1</v>
          </cell>
          <cell r="EA70">
            <v>0</v>
          </cell>
          <cell r="EB70">
            <v>0</v>
          </cell>
          <cell r="EC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R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BA71">
            <v>0</v>
          </cell>
          <cell r="BB71">
            <v>0</v>
          </cell>
          <cell r="BH71">
            <v>0</v>
          </cell>
          <cell r="BI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U71">
            <v>0</v>
          </cell>
          <cell r="BV71">
            <v>0</v>
          </cell>
          <cell r="BW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1</v>
          </cell>
          <cell r="CD71">
            <v>0</v>
          </cell>
          <cell r="CE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N71">
            <v>0</v>
          </cell>
          <cell r="CO71">
            <v>0</v>
          </cell>
          <cell r="CP71">
            <v>0</v>
          </cell>
          <cell r="CS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L71">
            <v>0</v>
          </cell>
          <cell r="DM71">
            <v>0</v>
          </cell>
          <cell r="DO71">
            <v>0</v>
          </cell>
          <cell r="DQ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1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R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BA72">
            <v>0</v>
          </cell>
          <cell r="BB72">
            <v>0</v>
          </cell>
          <cell r="BH72">
            <v>0</v>
          </cell>
          <cell r="BI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U72">
            <v>0</v>
          </cell>
          <cell r="BV72">
            <v>0</v>
          </cell>
          <cell r="BW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N72">
            <v>0</v>
          </cell>
          <cell r="CO72">
            <v>0</v>
          </cell>
          <cell r="CP72">
            <v>0</v>
          </cell>
          <cell r="CS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L72">
            <v>0</v>
          </cell>
          <cell r="DM72">
            <v>0</v>
          </cell>
          <cell r="DO72">
            <v>0</v>
          </cell>
          <cell r="DQ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R73">
            <v>0</v>
          </cell>
          <cell r="V73">
            <v>0</v>
          </cell>
          <cell r="W73">
            <v>1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1</v>
          </cell>
          <cell r="AS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BA73">
            <v>0</v>
          </cell>
          <cell r="BB73">
            <v>0</v>
          </cell>
          <cell r="BH73">
            <v>0</v>
          </cell>
          <cell r="BI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U73">
            <v>0</v>
          </cell>
          <cell r="BV73">
            <v>0</v>
          </cell>
          <cell r="BW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N73">
            <v>0</v>
          </cell>
          <cell r="CO73">
            <v>1</v>
          </cell>
          <cell r="CP73">
            <v>0</v>
          </cell>
          <cell r="CS73">
            <v>0</v>
          </cell>
          <cell r="CU73">
            <v>0</v>
          </cell>
          <cell r="CV73">
            <v>1</v>
          </cell>
          <cell r="CW73">
            <v>1</v>
          </cell>
          <cell r="CX73">
            <v>0</v>
          </cell>
          <cell r="CY73">
            <v>0</v>
          </cell>
          <cell r="CZ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1</v>
          </cell>
          <cell r="DG73">
            <v>0</v>
          </cell>
          <cell r="DH73">
            <v>0</v>
          </cell>
          <cell r="DL73">
            <v>0</v>
          </cell>
          <cell r="DM73">
            <v>0</v>
          </cell>
          <cell r="DO73">
            <v>0</v>
          </cell>
          <cell r="DQ73">
            <v>0</v>
          </cell>
          <cell r="DW73">
            <v>1</v>
          </cell>
          <cell r="DX73">
            <v>0</v>
          </cell>
          <cell r="DY73">
            <v>1</v>
          </cell>
          <cell r="DZ73">
            <v>0</v>
          </cell>
          <cell r="EA73">
            <v>0</v>
          </cell>
          <cell r="EB73">
            <v>0</v>
          </cell>
          <cell r="EC73">
            <v>1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R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BA74">
            <v>0</v>
          </cell>
          <cell r="BB74">
            <v>0</v>
          </cell>
          <cell r="BH74">
            <v>0</v>
          </cell>
          <cell r="BI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U74">
            <v>0</v>
          </cell>
          <cell r="BV74">
            <v>0</v>
          </cell>
          <cell r="BW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N74">
            <v>0</v>
          </cell>
          <cell r="CO74">
            <v>0</v>
          </cell>
          <cell r="CP74">
            <v>0</v>
          </cell>
          <cell r="CS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L74">
            <v>0</v>
          </cell>
          <cell r="DM74">
            <v>0</v>
          </cell>
          <cell r="DO74">
            <v>0</v>
          </cell>
          <cell r="DQ74">
            <v>0</v>
          </cell>
          <cell r="DW74">
            <v>1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</row>
        <row r="75">
          <cell r="D75">
            <v>2</v>
          </cell>
          <cell r="E75">
            <v>1</v>
          </cell>
          <cell r="F75">
            <v>1</v>
          </cell>
          <cell r="G75">
            <v>1</v>
          </cell>
          <cell r="H75">
            <v>0</v>
          </cell>
          <cell r="I75">
            <v>1</v>
          </cell>
          <cell r="K75">
            <v>0</v>
          </cell>
          <cell r="L75">
            <v>0</v>
          </cell>
          <cell r="M75">
            <v>1</v>
          </cell>
          <cell r="N75">
            <v>2</v>
          </cell>
          <cell r="R75">
            <v>1</v>
          </cell>
          <cell r="V75">
            <v>2</v>
          </cell>
          <cell r="W75">
            <v>2</v>
          </cell>
          <cell r="X75">
            <v>2</v>
          </cell>
          <cell r="Y75">
            <v>2</v>
          </cell>
          <cell r="Z75">
            <v>2</v>
          </cell>
          <cell r="AA75">
            <v>2</v>
          </cell>
          <cell r="AE75">
            <v>1</v>
          </cell>
          <cell r="AF75">
            <v>1</v>
          </cell>
          <cell r="AG75">
            <v>0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0</v>
          </cell>
          <cell r="AU75">
            <v>2</v>
          </cell>
          <cell r="AV75">
            <v>2</v>
          </cell>
          <cell r="AW75">
            <v>2</v>
          </cell>
          <cell r="AX75">
            <v>2</v>
          </cell>
          <cell r="AY75">
            <v>2</v>
          </cell>
          <cell r="BA75">
            <v>0</v>
          </cell>
          <cell r="BB75">
            <v>0</v>
          </cell>
          <cell r="BH75">
            <v>0</v>
          </cell>
          <cell r="BI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1</v>
          </cell>
          <cell r="BQ75">
            <v>0</v>
          </cell>
          <cell r="BR75">
            <v>0</v>
          </cell>
          <cell r="BS75">
            <v>0</v>
          </cell>
          <cell r="BU75">
            <v>2</v>
          </cell>
          <cell r="BV75">
            <v>0</v>
          </cell>
          <cell r="BW75">
            <v>1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1</v>
          </cell>
          <cell r="CE75">
            <v>0</v>
          </cell>
          <cell r="CH75">
            <v>2</v>
          </cell>
          <cell r="CI75">
            <v>1</v>
          </cell>
          <cell r="CJ75">
            <v>1</v>
          </cell>
          <cell r="CK75">
            <v>1</v>
          </cell>
          <cell r="CN75">
            <v>1</v>
          </cell>
          <cell r="CO75">
            <v>0</v>
          </cell>
          <cell r="CP75">
            <v>0</v>
          </cell>
          <cell r="CS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L75">
            <v>0</v>
          </cell>
          <cell r="DM75">
            <v>0</v>
          </cell>
          <cell r="DO75">
            <v>0</v>
          </cell>
          <cell r="DQ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R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BA76">
            <v>0</v>
          </cell>
          <cell r="BB76">
            <v>0</v>
          </cell>
          <cell r="BH76">
            <v>0</v>
          </cell>
          <cell r="BI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U76">
            <v>0</v>
          </cell>
          <cell r="BV76">
            <v>0</v>
          </cell>
          <cell r="BW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N76">
            <v>0</v>
          </cell>
          <cell r="CO76">
            <v>0</v>
          </cell>
          <cell r="CP76">
            <v>0</v>
          </cell>
          <cell r="CS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L76">
            <v>0</v>
          </cell>
          <cell r="DM76">
            <v>0</v>
          </cell>
          <cell r="DO76">
            <v>0</v>
          </cell>
          <cell r="DQ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R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BA77">
            <v>0</v>
          </cell>
          <cell r="BB77">
            <v>0</v>
          </cell>
          <cell r="BH77">
            <v>0</v>
          </cell>
          <cell r="BI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U77">
            <v>0</v>
          </cell>
          <cell r="BV77">
            <v>0</v>
          </cell>
          <cell r="BW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N77">
            <v>0</v>
          </cell>
          <cell r="CO77">
            <v>0</v>
          </cell>
          <cell r="CP77">
            <v>0</v>
          </cell>
          <cell r="CS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L77">
            <v>0</v>
          </cell>
          <cell r="DM77">
            <v>0</v>
          </cell>
          <cell r="DO77">
            <v>0</v>
          </cell>
          <cell r="DQ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R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BA78">
            <v>0</v>
          </cell>
          <cell r="BB78">
            <v>0</v>
          </cell>
          <cell r="BH78">
            <v>0</v>
          </cell>
          <cell r="BI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U78">
            <v>0</v>
          </cell>
          <cell r="BV78">
            <v>0</v>
          </cell>
          <cell r="BW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N78">
            <v>0</v>
          </cell>
          <cell r="CO78">
            <v>0</v>
          </cell>
          <cell r="CP78">
            <v>0</v>
          </cell>
          <cell r="CS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L78">
            <v>0</v>
          </cell>
          <cell r="DM78">
            <v>0</v>
          </cell>
          <cell r="DO78">
            <v>0</v>
          </cell>
          <cell r="DQ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R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BA79">
            <v>0</v>
          </cell>
          <cell r="BB79">
            <v>0</v>
          </cell>
          <cell r="BH79">
            <v>0</v>
          </cell>
          <cell r="BI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U79">
            <v>0</v>
          </cell>
          <cell r="BV79">
            <v>0</v>
          </cell>
          <cell r="BW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N79">
            <v>0</v>
          </cell>
          <cell r="CO79">
            <v>0</v>
          </cell>
          <cell r="CP79">
            <v>0</v>
          </cell>
          <cell r="CS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L79">
            <v>0</v>
          </cell>
          <cell r="DM79">
            <v>0</v>
          </cell>
          <cell r="DO79">
            <v>0</v>
          </cell>
          <cell r="DQ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R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BA80">
            <v>0</v>
          </cell>
          <cell r="BB80">
            <v>0</v>
          </cell>
          <cell r="BH80">
            <v>0</v>
          </cell>
          <cell r="BI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U80">
            <v>0</v>
          </cell>
          <cell r="BV80">
            <v>0</v>
          </cell>
          <cell r="BW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N80">
            <v>0</v>
          </cell>
          <cell r="CO80">
            <v>0</v>
          </cell>
          <cell r="CP80">
            <v>0</v>
          </cell>
          <cell r="CS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L80">
            <v>0</v>
          </cell>
          <cell r="DM80">
            <v>0</v>
          </cell>
          <cell r="DO80">
            <v>0</v>
          </cell>
          <cell r="DQ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R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BA81">
            <v>0</v>
          </cell>
          <cell r="BB81">
            <v>0</v>
          </cell>
          <cell r="BH81">
            <v>0</v>
          </cell>
          <cell r="BI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U81">
            <v>0</v>
          </cell>
          <cell r="BV81">
            <v>0</v>
          </cell>
          <cell r="BW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N81">
            <v>0</v>
          </cell>
          <cell r="CO81">
            <v>0</v>
          </cell>
          <cell r="CP81">
            <v>0</v>
          </cell>
          <cell r="CS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L81">
            <v>0</v>
          </cell>
          <cell r="DM81">
            <v>0</v>
          </cell>
          <cell r="DO81">
            <v>0</v>
          </cell>
          <cell r="DQ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1</v>
          </cell>
          <cell r="EB81">
            <v>0</v>
          </cell>
          <cell r="EC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R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BA82">
            <v>0</v>
          </cell>
          <cell r="BB82">
            <v>0</v>
          </cell>
          <cell r="BH82">
            <v>0</v>
          </cell>
          <cell r="BI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U82">
            <v>0</v>
          </cell>
          <cell r="BV82">
            <v>0</v>
          </cell>
          <cell r="BW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N82">
            <v>0</v>
          </cell>
          <cell r="CO82">
            <v>0</v>
          </cell>
          <cell r="CP82">
            <v>0</v>
          </cell>
          <cell r="CS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L82">
            <v>0</v>
          </cell>
          <cell r="DM82">
            <v>0</v>
          </cell>
          <cell r="DO82">
            <v>0</v>
          </cell>
          <cell r="DQ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R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BA83">
            <v>0</v>
          </cell>
          <cell r="BB83">
            <v>0</v>
          </cell>
          <cell r="BH83">
            <v>0</v>
          </cell>
          <cell r="BI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U83">
            <v>0</v>
          </cell>
          <cell r="BV83">
            <v>0</v>
          </cell>
          <cell r="BW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N83">
            <v>0</v>
          </cell>
          <cell r="CO83">
            <v>0</v>
          </cell>
          <cell r="CP83">
            <v>0</v>
          </cell>
          <cell r="CS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L83">
            <v>0</v>
          </cell>
          <cell r="DM83">
            <v>0</v>
          </cell>
          <cell r="DO83">
            <v>0</v>
          </cell>
          <cell r="DQ83">
            <v>0</v>
          </cell>
          <cell r="DW83">
            <v>1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R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BA84">
            <v>0</v>
          </cell>
          <cell r="BB84">
            <v>0</v>
          </cell>
          <cell r="BH84">
            <v>0</v>
          </cell>
          <cell r="BI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U84">
            <v>0</v>
          </cell>
          <cell r="BV84">
            <v>0</v>
          </cell>
          <cell r="BW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N84">
            <v>0</v>
          </cell>
          <cell r="CO84">
            <v>0</v>
          </cell>
          <cell r="CP84">
            <v>0</v>
          </cell>
          <cell r="CS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L84">
            <v>0</v>
          </cell>
          <cell r="DM84">
            <v>0</v>
          </cell>
          <cell r="DO84">
            <v>0</v>
          </cell>
          <cell r="DQ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R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BA85">
            <v>0</v>
          </cell>
          <cell r="BB85">
            <v>0</v>
          </cell>
          <cell r="BH85">
            <v>0</v>
          </cell>
          <cell r="BI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U85">
            <v>0</v>
          </cell>
          <cell r="BV85">
            <v>0</v>
          </cell>
          <cell r="BW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N85">
            <v>0</v>
          </cell>
          <cell r="CO85">
            <v>0</v>
          </cell>
          <cell r="CP85">
            <v>0</v>
          </cell>
          <cell r="CS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L85">
            <v>0</v>
          </cell>
          <cell r="DM85">
            <v>0</v>
          </cell>
          <cell r="DO85">
            <v>0</v>
          </cell>
          <cell r="DQ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R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BA86">
            <v>0</v>
          </cell>
          <cell r="BB86">
            <v>0</v>
          </cell>
          <cell r="BH86">
            <v>0</v>
          </cell>
          <cell r="BI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U86">
            <v>0</v>
          </cell>
          <cell r="BV86">
            <v>0</v>
          </cell>
          <cell r="BW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N86">
            <v>0</v>
          </cell>
          <cell r="CO86">
            <v>0</v>
          </cell>
          <cell r="CP86">
            <v>0</v>
          </cell>
          <cell r="CS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L86">
            <v>0</v>
          </cell>
          <cell r="DM86">
            <v>0</v>
          </cell>
          <cell r="DO86">
            <v>0</v>
          </cell>
          <cell r="DQ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R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BA87">
            <v>0</v>
          </cell>
          <cell r="BB87">
            <v>0</v>
          </cell>
          <cell r="BH87">
            <v>0</v>
          </cell>
          <cell r="BI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U87">
            <v>0</v>
          </cell>
          <cell r="BV87">
            <v>0</v>
          </cell>
          <cell r="BW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N87">
            <v>0</v>
          </cell>
          <cell r="CO87">
            <v>0</v>
          </cell>
          <cell r="CP87">
            <v>0</v>
          </cell>
          <cell r="CS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L87">
            <v>0</v>
          </cell>
          <cell r="DM87">
            <v>0</v>
          </cell>
          <cell r="DO87">
            <v>0</v>
          </cell>
          <cell r="DQ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1</v>
          </cell>
          <cell r="EB87">
            <v>0</v>
          </cell>
          <cell r="EC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R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BA88">
            <v>0</v>
          </cell>
          <cell r="BB88">
            <v>0</v>
          </cell>
          <cell r="BH88">
            <v>0</v>
          </cell>
          <cell r="BI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U88">
            <v>0</v>
          </cell>
          <cell r="BV88">
            <v>0</v>
          </cell>
          <cell r="BW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N88">
            <v>0</v>
          </cell>
          <cell r="CO88">
            <v>0</v>
          </cell>
          <cell r="CP88">
            <v>0</v>
          </cell>
          <cell r="CS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L88">
            <v>0</v>
          </cell>
          <cell r="DM88">
            <v>0</v>
          </cell>
          <cell r="DO88">
            <v>0</v>
          </cell>
          <cell r="DQ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R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E89">
            <v>0</v>
          </cell>
          <cell r="AF89">
            <v>0</v>
          </cell>
          <cell r="AG89">
            <v>2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BA89">
            <v>0</v>
          </cell>
          <cell r="BB89">
            <v>0</v>
          </cell>
          <cell r="BH89">
            <v>0</v>
          </cell>
          <cell r="BI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U89">
            <v>0</v>
          </cell>
          <cell r="BV89">
            <v>0</v>
          </cell>
          <cell r="BW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N89">
            <v>0</v>
          </cell>
          <cell r="CO89">
            <v>0</v>
          </cell>
          <cell r="CP89">
            <v>0</v>
          </cell>
          <cell r="CS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L89">
            <v>0</v>
          </cell>
          <cell r="DM89">
            <v>0</v>
          </cell>
          <cell r="DO89">
            <v>0</v>
          </cell>
          <cell r="DQ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R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BA90">
            <v>0</v>
          </cell>
          <cell r="BB90">
            <v>0</v>
          </cell>
          <cell r="BH90">
            <v>0</v>
          </cell>
          <cell r="BI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U90">
            <v>0</v>
          </cell>
          <cell r="BV90">
            <v>0</v>
          </cell>
          <cell r="BW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N90">
            <v>0</v>
          </cell>
          <cell r="CO90">
            <v>0</v>
          </cell>
          <cell r="CP90">
            <v>0</v>
          </cell>
          <cell r="CS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L90">
            <v>0</v>
          </cell>
          <cell r="DM90">
            <v>0</v>
          </cell>
          <cell r="DO90">
            <v>0</v>
          </cell>
          <cell r="DQ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R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E91">
            <v>0</v>
          </cell>
          <cell r="AF91">
            <v>0</v>
          </cell>
          <cell r="AG91">
            <v>1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BA91">
            <v>0</v>
          </cell>
          <cell r="BB91">
            <v>0</v>
          </cell>
          <cell r="BH91">
            <v>0</v>
          </cell>
          <cell r="BI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U91">
            <v>0</v>
          </cell>
          <cell r="BV91">
            <v>0</v>
          </cell>
          <cell r="BW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N91">
            <v>0</v>
          </cell>
          <cell r="CO91">
            <v>0</v>
          </cell>
          <cell r="CP91">
            <v>0</v>
          </cell>
          <cell r="CS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L91">
            <v>0</v>
          </cell>
          <cell r="DM91">
            <v>0</v>
          </cell>
          <cell r="DO91">
            <v>0</v>
          </cell>
          <cell r="DQ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R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BA92">
            <v>0</v>
          </cell>
          <cell r="BB92">
            <v>0</v>
          </cell>
          <cell r="BH92">
            <v>0</v>
          </cell>
          <cell r="BI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U92">
            <v>0</v>
          </cell>
          <cell r="BV92">
            <v>0</v>
          </cell>
          <cell r="BW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N92">
            <v>0</v>
          </cell>
          <cell r="CO92">
            <v>0</v>
          </cell>
          <cell r="CP92">
            <v>0</v>
          </cell>
          <cell r="CS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L92">
            <v>0</v>
          </cell>
          <cell r="DM92">
            <v>0</v>
          </cell>
          <cell r="DO92">
            <v>0</v>
          </cell>
          <cell r="DQ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R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BA93">
            <v>0</v>
          </cell>
          <cell r="BB93">
            <v>0</v>
          </cell>
          <cell r="BH93">
            <v>0</v>
          </cell>
          <cell r="BI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U93">
            <v>0</v>
          </cell>
          <cell r="BV93">
            <v>0</v>
          </cell>
          <cell r="BW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N93">
            <v>0</v>
          </cell>
          <cell r="CO93">
            <v>0</v>
          </cell>
          <cell r="CP93">
            <v>0</v>
          </cell>
          <cell r="CS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L93">
            <v>0</v>
          </cell>
          <cell r="DM93">
            <v>0</v>
          </cell>
          <cell r="DO93">
            <v>0</v>
          </cell>
          <cell r="DQ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R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BA94">
            <v>0</v>
          </cell>
          <cell r="BB94">
            <v>0</v>
          </cell>
          <cell r="BH94">
            <v>0</v>
          </cell>
          <cell r="BI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U94">
            <v>1</v>
          </cell>
          <cell r="BV94">
            <v>0</v>
          </cell>
          <cell r="BW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N94">
            <v>0</v>
          </cell>
          <cell r="CO94">
            <v>0</v>
          </cell>
          <cell r="CP94">
            <v>0</v>
          </cell>
          <cell r="CS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L94">
            <v>0</v>
          </cell>
          <cell r="DM94">
            <v>0</v>
          </cell>
          <cell r="DO94">
            <v>0</v>
          </cell>
          <cell r="DQ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R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BA95">
            <v>0</v>
          </cell>
          <cell r="BB95">
            <v>0</v>
          </cell>
          <cell r="BH95">
            <v>0</v>
          </cell>
          <cell r="BI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U95">
            <v>0</v>
          </cell>
          <cell r="BV95">
            <v>0</v>
          </cell>
          <cell r="BW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N95">
            <v>0</v>
          </cell>
          <cell r="CO95">
            <v>0</v>
          </cell>
          <cell r="CP95">
            <v>0</v>
          </cell>
          <cell r="CS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L95">
            <v>0</v>
          </cell>
          <cell r="DM95">
            <v>0</v>
          </cell>
          <cell r="DO95">
            <v>0</v>
          </cell>
          <cell r="DQ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R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BA96">
            <v>0</v>
          </cell>
          <cell r="BB96">
            <v>0</v>
          </cell>
          <cell r="BH96">
            <v>0</v>
          </cell>
          <cell r="BI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U96">
            <v>0</v>
          </cell>
          <cell r="BV96">
            <v>0</v>
          </cell>
          <cell r="BW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N96">
            <v>0</v>
          </cell>
          <cell r="CO96">
            <v>0</v>
          </cell>
          <cell r="CP96">
            <v>0</v>
          </cell>
          <cell r="CS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1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L96">
            <v>0</v>
          </cell>
          <cell r="DM96">
            <v>0</v>
          </cell>
          <cell r="DO96">
            <v>0</v>
          </cell>
          <cell r="DQ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R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BA97">
            <v>0</v>
          </cell>
          <cell r="BB97">
            <v>0</v>
          </cell>
          <cell r="BH97">
            <v>0</v>
          </cell>
          <cell r="BI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U97">
            <v>0</v>
          </cell>
          <cell r="BV97">
            <v>0</v>
          </cell>
          <cell r="BW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N97">
            <v>0</v>
          </cell>
          <cell r="CO97">
            <v>0</v>
          </cell>
          <cell r="CP97">
            <v>0</v>
          </cell>
          <cell r="CS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L97">
            <v>0</v>
          </cell>
          <cell r="DM97">
            <v>0</v>
          </cell>
          <cell r="DO97">
            <v>0</v>
          </cell>
          <cell r="DQ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R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BA98">
            <v>0</v>
          </cell>
          <cell r="BB98">
            <v>0</v>
          </cell>
          <cell r="BH98">
            <v>0</v>
          </cell>
          <cell r="BI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U98">
            <v>0</v>
          </cell>
          <cell r="BV98">
            <v>0</v>
          </cell>
          <cell r="BW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N98">
            <v>0</v>
          </cell>
          <cell r="CO98">
            <v>0</v>
          </cell>
          <cell r="CP98">
            <v>0</v>
          </cell>
          <cell r="CS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L98">
            <v>0</v>
          </cell>
          <cell r="DM98">
            <v>0</v>
          </cell>
          <cell r="DO98">
            <v>0</v>
          </cell>
          <cell r="DQ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R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BA99">
            <v>0</v>
          </cell>
          <cell r="BB99">
            <v>0</v>
          </cell>
          <cell r="BH99">
            <v>0</v>
          </cell>
          <cell r="BI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U99">
            <v>0</v>
          </cell>
          <cell r="BV99">
            <v>0</v>
          </cell>
          <cell r="BW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N99">
            <v>0</v>
          </cell>
          <cell r="CO99">
            <v>0</v>
          </cell>
          <cell r="CP99">
            <v>0</v>
          </cell>
          <cell r="CS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L99">
            <v>0</v>
          </cell>
          <cell r="DM99">
            <v>0</v>
          </cell>
          <cell r="DO99">
            <v>0</v>
          </cell>
          <cell r="DQ99">
            <v>0</v>
          </cell>
          <cell r="DW99">
            <v>2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R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BA100">
            <v>0</v>
          </cell>
          <cell r="BB100">
            <v>0</v>
          </cell>
          <cell r="BH100">
            <v>0</v>
          </cell>
          <cell r="BI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U100">
            <v>0</v>
          </cell>
          <cell r="BV100">
            <v>0</v>
          </cell>
          <cell r="BW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N100">
            <v>0</v>
          </cell>
          <cell r="CO100">
            <v>0</v>
          </cell>
          <cell r="CP100">
            <v>0</v>
          </cell>
          <cell r="CS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L100">
            <v>0</v>
          </cell>
          <cell r="DM100">
            <v>0</v>
          </cell>
          <cell r="DO100">
            <v>0</v>
          </cell>
          <cell r="DQ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R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BA101">
            <v>0</v>
          </cell>
          <cell r="BB101">
            <v>0</v>
          </cell>
          <cell r="BH101">
            <v>0</v>
          </cell>
          <cell r="BI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U101">
            <v>0</v>
          </cell>
          <cell r="BV101">
            <v>0</v>
          </cell>
          <cell r="BW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N101">
            <v>0</v>
          </cell>
          <cell r="CO101">
            <v>0</v>
          </cell>
          <cell r="CP101">
            <v>0</v>
          </cell>
          <cell r="CS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L101">
            <v>0</v>
          </cell>
          <cell r="DM101">
            <v>0</v>
          </cell>
          <cell r="DO101">
            <v>0</v>
          </cell>
          <cell r="DQ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R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BA102">
            <v>0</v>
          </cell>
          <cell r="BB102">
            <v>0</v>
          </cell>
          <cell r="BH102">
            <v>0</v>
          </cell>
          <cell r="BI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U102">
            <v>0</v>
          </cell>
          <cell r="BV102">
            <v>0</v>
          </cell>
          <cell r="BW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N102">
            <v>0</v>
          </cell>
          <cell r="CO102">
            <v>0</v>
          </cell>
          <cell r="CP102">
            <v>0</v>
          </cell>
          <cell r="CS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L102">
            <v>0</v>
          </cell>
          <cell r="DM102">
            <v>0</v>
          </cell>
          <cell r="DO102">
            <v>0</v>
          </cell>
          <cell r="DQ102">
            <v>0</v>
          </cell>
          <cell r="DW102">
            <v>4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R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BA103">
            <v>0</v>
          </cell>
          <cell r="BB103">
            <v>0</v>
          </cell>
          <cell r="BH103">
            <v>0</v>
          </cell>
          <cell r="BI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U103">
            <v>0</v>
          </cell>
          <cell r="BV103">
            <v>0</v>
          </cell>
          <cell r="BW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N103">
            <v>0</v>
          </cell>
          <cell r="CO103">
            <v>0</v>
          </cell>
          <cell r="CP103">
            <v>0</v>
          </cell>
          <cell r="CS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L103">
            <v>0</v>
          </cell>
          <cell r="DM103">
            <v>0</v>
          </cell>
          <cell r="DO103">
            <v>0</v>
          </cell>
          <cell r="DQ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R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BA104">
            <v>0</v>
          </cell>
          <cell r="BB104">
            <v>0</v>
          </cell>
          <cell r="BH104">
            <v>0</v>
          </cell>
          <cell r="BI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U104">
            <v>0</v>
          </cell>
          <cell r="BV104">
            <v>0</v>
          </cell>
          <cell r="BW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N104">
            <v>0</v>
          </cell>
          <cell r="CO104">
            <v>0</v>
          </cell>
          <cell r="CP104">
            <v>0</v>
          </cell>
          <cell r="CS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L104">
            <v>0</v>
          </cell>
          <cell r="DM104">
            <v>0</v>
          </cell>
          <cell r="DO104">
            <v>0</v>
          </cell>
          <cell r="DQ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R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BA105">
            <v>0</v>
          </cell>
          <cell r="BB105">
            <v>0</v>
          </cell>
          <cell r="BH105">
            <v>0</v>
          </cell>
          <cell r="BI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U105">
            <v>0</v>
          </cell>
          <cell r="BV105">
            <v>0</v>
          </cell>
          <cell r="BW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N105">
            <v>0</v>
          </cell>
          <cell r="CO105">
            <v>0</v>
          </cell>
          <cell r="CP105">
            <v>0</v>
          </cell>
          <cell r="CS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L105">
            <v>0</v>
          </cell>
          <cell r="DM105">
            <v>0</v>
          </cell>
          <cell r="DO105">
            <v>0</v>
          </cell>
          <cell r="DQ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</v>
          </cell>
          <cell r="R106">
            <v>0</v>
          </cell>
          <cell r="V106">
            <v>8</v>
          </cell>
          <cell r="W106">
            <v>9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E106">
            <v>3</v>
          </cell>
          <cell r="AF106">
            <v>3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U106">
            <v>0</v>
          </cell>
          <cell r="AV106">
            <v>0</v>
          </cell>
          <cell r="AW106">
            <v>1</v>
          </cell>
          <cell r="AX106">
            <v>1</v>
          </cell>
          <cell r="AY106">
            <v>0</v>
          </cell>
          <cell r="BA106">
            <v>0</v>
          </cell>
          <cell r="BB106">
            <v>0</v>
          </cell>
          <cell r="BH106">
            <v>0</v>
          </cell>
          <cell r="BI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2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U106">
            <v>0</v>
          </cell>
          <cell r="BV106">
            <v>2</v>
          </cell>
          <cell r="BW106">
            <v>0</v>
          </cell>
          <cell r="BZ106">
            <v>0</v>
          </cell>
          <cell r="CA106">
            <v>1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N106">
            <v>0</v>
          </cell>
          <cell r="CO106">
            <v>2</v>
          </cell>
          <cell r="CP106">
            <v>0</v>
          </cell>
          <cell r="CS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1</v>
          </cell>
          <cell r="DF106">
            <v>0</v>
          </cell>
          <cell r="DG106">
            <v>0</v>
          </cell>
          <cell r="DH106">
            <v>0</v>
          </cell>
          <cell r="DL106">
            <v>0</v>
          </cell>
          <cell r="DM106">
            <v>0</v>
          </cell>
          <cell r="DO106">
            <v>0</v>
          </cell>
          <cell r="DQ106">
            <v>0</v>
          </cell>
          <cell r="DW106">
            <v>2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R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BA107">
            <v>0</v>
          </cell>
          <cell r="BB107">
            <v>0</v>
          </cell>
          <cell r="BH107">
            <v>0</v>
          </cell>
          <cell r="BI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U107">
            <v>0</v>
          </cell>
          <cell r="BV107">
            <v>0</v>
          </cell>
          <cell r="BW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N107">
            <v>0</v>
          </cell>
          <cell r="CO107">
            <v>0</v>
          </cell>
          <cell r="CP107">
            <v>0</v>
          </cell>
          <cell r="CS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1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L107">
            <v>0</v>
          </cell>
          <cell r="DM107">
            <v>0</v>
          </cell>
          <cell r="DO107">
            <v>0</v>
          </cell>
          <cell r="DQ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R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BA108">
            <v>0</v>
          </cell>
          <cell r="BB108">
            <v>0</v>
          </cell>
          <cell r="BH108">
            <v>0</v>
          </cell>
          <cell r="BI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U108">
            <v>0</v>
          </cell>
          <cell r="BV108">
            <v>0</v>
          </cell>
          <cell r="BW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N108">
            <v>0</v>
          </cell>
          <cell r="CO108">
            <v>0</v>
          </cell>
          <cell r="CP108">
            <v>0</v>
          </cell>
          <cell r="CS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L108">
            <v>0</v>
          </cell>
          <cell r="DM108">
            <v>0</v>
          </cell>
          <cell r="DO108">
            <v>0</v>
          </cell>
          <cell r="DQ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R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BA109">
            <v>0</v>
          </cell>
          <cell r="BB109">
            <v>0</v>
          </cell>
          <cell r="BH109">
            <v>0</v>
          </cell>
          <cell r="BI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U109">
            <v>0</v>
          </cell>
          <cell r="BV109">
            <v>0</v>
          </cell>
          <cell r="BW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N109">
            <v>0</v>
          </cell>
          <cell r="CO109">
            <v>0</v>
          </cell>
          <cell r="CP109">
            <v>0</v>
          </cell>
          <cell r="CS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L109">
            <v>0</v>
          </cell>
          <cell r="DM109">
            <v>0</v>
          </cell>
          <cell r="DO109">
            <v>0</v>
          </cell>
          <cell r="DQ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R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BA110">
            <v>0</v>
          </cell>
          <cell r="BB110">
            <v>0</v>
          </cell>
          <cell r="BH110">
            <v>0</v>
          </cell>
          <cell r="BI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U110">
            <v>0</v>
          </cell>
          <cell r="BV110">
            <v>0</v>
          </cell>
          <cell r="BW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N110">
            <v>0</v>
          </cell>
          <cell r="CO110">
            <v>0</v>
          </cell>
          <cell r="CP110">
            <v>0</v>
          </cell>
          <cell r="CS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L110">
            <v>0</v>
          </cell>
          <cell r="DM110">
            <v>0</v>
          </cell>
          <cell r="DO110">
            <v>0</v>
          </cell>
          <cell r="DQ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1</v>
          </cell>
          <cell r="EC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R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BA111">
            <v>0</v>
          </cell>
          <cell r="BB111">
            <v>0</v>
          </cell>
          <cell r="BH111">
            <v>0</v>
          </cell>
          <cell r="BI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U111">
            <v>0</v>
          </cell>
          <cell r="BV111">
            <v>0</v>
          </cell>
          <cell r="BW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N111">
            <v>0</v>
          </cell>
          <cell r="CO111">
            <v>0</v>
          </cell>
          <cell r="CP111">
            <v>0</v>
          </cell>
          <cell r="CS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L111">
            <v>0</v>
          </cell>
          <cell r="DM111">
            <v>0</v>
          </cell>
          <cell r="DO111">
            <v>0</v>
          </cell>
          <cell r="DQ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R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BA112">
            <v>1</v>
          </cell>
          <cell r="BB112">
            <v>1</v>
          </cell>
          <cell r="BH112">
            <v>0</v>
          </cell>
          <cell r="BI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U112">
            <v>0</v>
          </cell>
          <cell r="BV112">
            <v>0</v>
          </cell>
          <cell r="BW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N112">
            <v>0</v>
          </cell>
          <cell r="CO112">
            <v>0</v>
          </cell>
          <cell r="CP112">
            <v>0</v>
          </cell>
          <cell r="CS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L112">
            <v>0</v>
          </cell>
          <cell r="DM112">
            <v>0</v>
          </cell>
          <cell r="DO112">
            <v>0</v>
          </cell>
          <cell r="DQ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R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BA113">
            <v>0</v>
          </cell>
          <cell r="BB113">
            <v>0</v>
          </cell>
          <cell r="BH113">
            <v>0</v>
          </cell>
          <cell r="BI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U113">
            <v>0</v>
          </cell>
          <cell r="BV113">
            <v>0</v>
          </cell>
          <cell r="BW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N113">
            <v>0</v>
          </cell>
          <cell r="CO113">
            <v>0</v>
          </cell>
          <cell r="CP113">
            <v>0</v>
          </cell>
          <cell r="CS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L113">
            <v>0</v>
          </cell>
          <cell r="DM113">
            <v>0</v>
          </cell>
          <cell r="DO113">
            <v>0</v>
          </cell>
          <cell r="DQ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R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BA114">
            <v>0</v>
          </cell>
          <cell r="BB114">
            <v>0</v>
          </cell>
          <cell r="BH114">
            <v>0</v>
          </cell>
          <cell r="BI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U114">
            <v>0</v>
          </cell>
          <cell r="BV114">
            <v>0</v>
          </cell>
          <cell r="BW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N114">
            <v>0</v>
          </cell>
          <cell r="CO114">
            <v>0</v>
          </cell>
          <cell r="CP114">
            <v>0</v>
          </cell>
          <cell r="CS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L114">
            <v>0</v>
          </cell>
          <cell r="DM114">
            <v>0</v>
          </cell>
          <cell r="DO114">
            <v>0</v>
          </cell>
          <cell r="DQ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R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BA115">
            <v>0</v>
          </cell>
          <cell r="BB115">
            <v>0</v>
          </cell>
          <cell r="BH115">
            <v>0</v>
          </cell>
          <cell r="BI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U115">
            <v>0</v>
          </cell>
          <cell r="BV115">
            <v>0</v>
          </cell>
          <cell r="BW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N115">
            <v>0</v>
          </cell>
          <cell r="CO115">
            <v>0</v>
          </cell>
          <cell r="CP115">
            <v>0</v>
          </cell>
          <cell r="CS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L115">
            <v>0</v>
          </cell>
          <cell r="DM115">
            <v>0</v>
          </cell>
          <cell r="DO115">
            <v>0</v>
          </cell>
          <cell r="DQ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R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BA116">
            <v>0</v>
          </cell>
          <cell r="BB116">
            <v>0</v>
          </cell>
          <cell r="BH116">
            <v>0</v>
          </cell>
          <cell r="BI116">
            <v>0</v>
          </cell>
          <cell r="BL116">
            <v>0</v>
          </cell>
          <cell r="BM116">
            <v>0</v>
          </cell>
          <cell r="BN116">
            <v>2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U116">
            <v>0</v>
          </cell>
          <cell r="BV116">
            <v>0</v>
          </cell>
          <cell r="BW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N116">
            <v>0</v>
          </cell>
          <cell r="CO116">
            <v>0</v>
          </cell>
          <cell r="CP116">
            <v>0</v>
          </cell>
          <cell r="CS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L116">
            <v>0</v>
          </cell>
          <cell r="DM116">
            <v>0</v>
          </cell>
          <cell r="DO116">
            <v>0</v>
          </cell>
          <cell r="DQ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R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BA117">
            <v>0</v>
          </cell>
          <cell r="BB117">
            <v>0</v>
          </cell>
          <cell r="BH117">
            <v>0</v>
          </cell>
          <cell r="BI117">
            <v>0</v>
          </cell>
          <cell r="BL117">
            <v>0</v>
          </cell>
          <cell r="BM117">
            <v>2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U117">
            <v>0</v>
          </cell>
          <cell r="BV117">
            <v>0</v>
          </cell>
          <cell r="BW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N117">
            <v>0</v>
          </cell>
          <cell r="CO117">
            <v>0</v>
          </cell>
          <cell r="CP117">
            <v>0</v>
          </cell>
          <cell r="CS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L117">
            <v>0</v>
          </cell>
          <cell r="DM117">
            <v>0</v>
          </cell>
          <cell r="DO117">
            <v>0</v>
          </cell>
          <cell r="DQ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R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BA118">
            <v>0</v>
          </cell>
          <cell r="BB118">
            <v>0</v>
          </cell>
          <cell r="BH118">
            <v>0</v>
          </cell>
          <cell r="BI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U118">
            <v>0</v>
          </cell>
          <cell r="BV118">
            <v>0</v>
          </cell>
          <cell r="BW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N118">
            <v>0</v>
          </cell>
          <cell r="CO118">
            <v>0</v>
          </cell>
          <cell r="CP118">
            <v>0</v>
          </cell>
          <cell r="CS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L118">
            <v>0</v>
          </cell>
          <cell r="DM118">
            <v>0</v>
          </cell>
          <cell r="DO118">
            <v>0</v>
          </cell>
          <cell r="DQ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R119">
            <v>0</v>
          </cell>
          <cell r="V119">
            <v>0</v>
          </cell>
          <cell r="W119">
            <v>1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BA119">
            <v>0</v>
          </cell>
          <cell r="BB119">
            <v>0</v>
          </cell>
          <cell r="BH119">
            <v>0</v>
          </cell>
          <cell r="BI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U119">
            <v>0</v>
          </cell>
          <cell r="BV119">
            <v>0</v>
          </cell>
          <cell r="BW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1</v>
          </cell>
          <cell r="CN119">
            <v>1</v>
          </cell>
          <cell r="CO119">
            <v>0</v>
          </cell>
          <cell r="CP119">
            <v>0</v>
          </cell>
          <cell r="CS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1</v>
          </cell>
          <cell r="DL119">
            <v>0</v>
          </cell>
          <cell r="DM119">
            <v>0</v>
          </cell>
          <cell r="DO119">
            <v>0</v>
          </cell>
          <cell r="DQ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R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BA120">
            <v>0</v>
          </cell>
          <cell r="BB120">
            <v>0</v>
          </cell>
          <cell r="BH120">
            <v>0</v>
          </cell>
          <cell r="BI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U120">
            <v>0</v>
          </cell>
          <cell r="BV120">
            <v>0</v>
          </cell>
          <cell r="BW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H120">
            <v>1</v>
          </cell>
          <cell r="CI120">
            <v>0</v>
          </cell>
          <cell r="CJ120">
            <v>0</v>
          </cell>
          <cell r="CK120">
            <v>0</v>
          </cell>
          <cell r="CN120">
            <v>0</v>
          </cell>
          <cell r="CO120">
            <v>1</v>
          </cell>
          <cell r="CP120">
            <v>0</v>
          </cell>
          <cell r="CS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L120">
            <v>0</v>
          </cell>
          <cell r="DM120">
            <v>0</v>
          </cell>
          <cell r="DO120">
            <v>0</v>
          </cell>
          <cell r="DQ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R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BA121">
            <v>0</v>
          </cell>
          <cell r="BB121">
            <v>0</v>
          </cell>
          <cell r="BH121">
            <v>0</v>
          </cell>
          <cell r="BI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U121">
            <v>0</v>
          </cell>
          <cell r="BV121">
            <v>0</v>
          </cell>
          <cell r="BW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N121">
            <v>0</v>
          </cell>
          <cell r="CO121">
            <v>0</v>
          </cell>
          <cell r="CP121">
            <v>0</v>
          </cell>
          <cell r="CS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L121">
            <v>0</v>
          </cell>
          <cell r="DM121">
            <v>0</v>
          </cell>
          <cell r="DO121">
            <v>0</v>
          </cell>
          <cell r="DQ121">
            <v>0</v>
          </cell>
          <cell r="DW121">
            <v>1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R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BA122">
            <v>0</v>
          </cell>
          <cell r="BB122">
            <v>0</v>
          </cell>
          <cell r="BH122">
            <v>0</v>
          </cell>
          <cell r="BI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U122">
            <v>0</v>
          </cell>
          <cell r="BV122">
            <v>0</v>
          </cell>
          <cell r="BW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N122">
            <v>0</v>
          </cell>
          <cell r="CO122">
            <v>0</v>
          </cell>
          <cell r="CP122">
            <v>0</v>
          </cell>
          <cell r="CS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L122">
            <v>0</v>
          </cell>
          <cell r="DM122">
            <v>0</v>
          </cell>
          <cell r="DO122">
            <v>0</v>
          </cell>
          <cell r="DQ122">
            <v>0</v>
          </cell>
          <cell r="DW122">
            <v>0</v>
          </cell>
          <cell r="DX122">
            <v>0</v>
          </cell>
          <cell r="DY122">
            <v>1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R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BA123">
            <v>0</v>
          </cell>
          <cell r="BB123">
            <v>0</v>
          </cell>
          <cell r="BH123">
            <v>0</v>
          </cell>
          <cell r="BI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U123">
            <v>0</v>
          </cell>
          <cell r="BV123">
            <v>0</v>
          </cell>
          <cell r="BW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N123">
            <v>0</v>
          </cell>
          <cell r="CO123">
            <v>0</v>
          </cell>
          <cell r="CP123">
            <v>0</v>
          </cell>
          <cell r="CS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1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L123">
            <v>0</v>
          </cell>
          <cell r="DM123">
            <v>0</v>
          </cell>
          <cell r="DO123">
            <v>0</v>
          </cell>
          <cell r="DQ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R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BA124">
            <v>0</v>
          </cell>
          <cell r="BB124">
            <v>0</v>
          </cell>
          <cell r="BH124">
            <v>0</v>
          </cell>
          <cell r="BI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U124">
            <v>0</v>
          </cell>
          <cell r="BV124">
            <v>0</v>
          </cell>
          <cell r="BW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N124">
            <v>0</v>
          </cell>
          <cell r="CO124">
            <v>0</v>
          </cell>
          <cell r="CP124">
            <v>0</v>
          </cell>
          <cell r="CS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L124">
            <v>0</v>
          </cell>
          <cell r="DM124">
            <v>0</v>
          </cell>
          <cell r="DO124">
            <v>0</v>
          </cell>
          <cell r="DQ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R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BA125">
            <v>0</v>
          </cell>
          <cell r="BB125">
            <v>0</v>
          </cell>
          <cell r="BH125">
            <v>0</v>
          </cell>
          <cell r="BI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U125">
            <v>0</v>
          </cell>
          <cell r="BV125">
            <v>0</v>
          </cell>
          <cell r="BW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N125">
            <v>0</v>
          </cell>
          <cell r="CO125">
            <v>0</v>
          </cell>
          <cell r="CP125">
            <v>0</v>
          </cell>
          <cell r="CS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L125">
            <v>0</v>
          </cell>
          <cell r="DM125">
            <v>0</v>
          </cell>
          <cell r="DO125">
            <v>0</v>
          </cell>
          <cell r="DQ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1</v>
          </cell>
          <cell r="R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U126">
            <v>0</v>
          </cell>
          <cell r="AV126">
            <v>0</v>
          </cell>
          <cell r="AW126">
            <v>1</v>
          </cell>
          <cell r="AX126">
            <v>1</v>
          </cell>
          <cell r="AY126">
            <v>0</v>
          </cell>
          <cell r="BA126">
            <v>0</v>
          </cell>
          <cell r="BB126">
            <v>0</v>
          </cell>
          <cell r="BH126">
            <v>0</v>
          </cell>
          <cell r="BI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U126">
            <v>0</v>
          </cell>
          <cell r="BV126">
            <v>0</v>
          </cell>
          <cell r="BW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N126">
            <v>0</v>
          </cell>
          <cell r="CO126">
            <v>0</v>
          </cell>
          <cell r="CP126">
            <v>0</v>
          </cell>
          <cell r="CS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L126">
            <v>0</v>
          </cell>
          <cell r="DM126">
            <v>0</v>
          </cell>
          <cell r="DO126">
            <v>0</v>
          </cell>
          <cell r="DQ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R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BA127">
            <v>0</v>
          </cell>
          <cell r="BB127">
            <v>0</v>
          </cell>
          <cell r="BH127">
            <v>0</v>
          </cell>
          <cell r="BI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U127">
            <v>0</v>
          </cell>
          <cell r="BV127">
            <v>0</v>
          </cell>
          <cell r="BW127">
            <v>0</v>
          </cell>
          <cell r="BZ127">
            <v>1</v>
          </cell>
          <cell r="CA127">
            <v>0</v>
          </cell>
          <cell r="CB127">
            <v>1</v>
          </cell>
          <cell r="CC127">
            <v>0</v>
          </cell>
          <cell r="CD127">
            <v>0</v>
          </cell>
          <cell r="CE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N127">
            <v>0</v>
          </cell>
          <cell r="CO127">
            <v>0</v>
          </cell>
          <cell r="CP127">
            <v>0</v>
          </cell>
          <cell r="CS127">
            <v>0</v>
          </cell>
          <cell r="CU127">
            <v>1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L127">
            <v>0</v>
          </cell>
          <cell r="DM127">
            <v>0</v>
          </cell>
          <cell r="DO127">
            <v>0</v>
          </cell>
          <cell r="DQ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R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BA128">
            <v>0</v>
          </cell>
          <cell r="BB128">
            <v>0</v>
          </cell>
          <cell r="BH128">
            <v>0</v>
          </cell>
          <cell r="BI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U128">
            <v>0</v>
          </cell>
          <cell r="BV128">
            <v>0</v>
          </cell>
          <cell r="BW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N128">
            <v>0</v>
          </cell>
          <cell r="CO128">
            <v>0</v>
          </cell>
          <cell r="CP128">
            <v>0</v>
          </cell>
          <cell r="CS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L128">
            <v>0</v>
          </cell>
          <cell r="DM128">
            <v>0</v>
          </cell>
          <cell r="DO128">
            <v>0</v>
          </cell>
          <cell r="DQ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R129">
            <v>0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BA129">
            <v>0</v>
          </cell>
          <cell r="BB129">
            <v>0</v>
          </cell>
          <cell r="BH129">
            <v>0</v>
          </cell>
          <cell r="BI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U129">
            <v>0</v>
          </cell>
          <cell r="BV129">
            <v>0</v>
          </cell>
          <cell r="BW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N129">
            <v>0</v>
          </cell>
          <cell r="CO129">
            <v>0</v>
          </cell>
          <cell r="CP129">
            <v>0</v>
          </cell>
          <cell r="CS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L129">
            <v>0</v>
          </cell>
          <cell r="DM129">
            <v>0</v>
          </cell>
          <cell r="DO129">
            <v>0</v>
          </cell>
          <cell r="DQ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R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BA130">
            <v>0</v>
          </cell>
          <cell r="BB130">
            <v>0</v>
          </cell>
          <cell r="BH130">
            <v>0</v>
          </cell>
          <cell r="BI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U130">
            <v>0</v>
          </cell>
          <cell r="BV130">
            <v>0</v>
          </cell>
          <cell r="BW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N130">
            <v>0</v>
          </cell>
          <cell r="CO130">
            <v>0</v>
          </cell>
          <cell r="CP130">
            <v>0</v>
          </cell>
          <cell r="CS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L130">
            <v>0</v>
          </cell>
          <cell r="DM130">
            <v>0</v>
          </cell>
          <cell r="DO130">
            <v>0</v>
          </cell>
          <cell r="DQ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R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BA131">
            <v>0</v>
          </cell>
          <cell r="BB131">
            <v>0</v>
          </cell>
          <cell r="BH131">
            <v>0</v>
          </cell>
          <cell r="BI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U131">
            <v>0</v>
          </cell>
          <cell r="BV131">
            <v>0</v>
          </cell>
          <cell r="BW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N131">
            <v>0</v>
          </cell>
          <cell r="CO131">
            <v>0</v>
          </cell>
          <cell r="CP131">
            <v>0</v>
          </cell>
          <cell r="CS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L131">
            <v>0</v>
          </cell>
          <cell r="DM131">
            <v>0</v>
          </cell>
          <cell r="DO131">
            <v>0</v>
          </cell>
          <cell r="DQ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R132">
            <v>0</v>
          </cell>
          <cell r="V132">
            <v>0</v>
          </cell>
          <cell r="W132">
            <v>0</v>
          </cell>
          <cell r="X132">
            <v>3</v>
          </cell>
          <cell r="Y132">
            <v>0</v>
          </cell>
          <cell r="Z132">
            <v>0</v>
          </cell>
          <cell r="AA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BA132">
            <v>0</v>
          </cell>
          <cell r="BB132">
            <v>0</v>
          </cell>
          <cell r="BH132">
            <v>0</v>
          </cell>
          <cell r="BI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U132">
            <v>0</v>
          </cell>
          <cell r="BV132">
            <v>0</v>
          </cell>
          <cell r="BW132">
            <v>2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N132">
            <v>0</v>
          </cell>
          <cell r="CO132">
            <v>0</v>
          </cell>
          <cell r="CP132">
            <v>0</v>
          </cell>
          <cell r="CS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L132">
            <v>0</v>
          </cell>
          <cell r="DM132">
            <v>0</v>
          </cell>
          <cell r="DO132">
            <v>0</v>
          </cell>
          <cell r="DQ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</row>
        <row r="133">
          <cell r="D133">
            <v>0</v>
          </cell>
          <cell r="E133">
            <v>2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K133">
            <v>0</v>
          </cell>
          <cell r="L133">
            <v>0</v>
          </cell>
          <cell r="M133">
            <v>1</v>
          </cell>
          <cell r="N133">
            <v>0</v>
          </cell>
          <cell r="R133">
            <v>0</v>
          </cell>
          <cell r="V133">
            <v>0</v>
          </cell>
          <cell r="W133">
            <v>0</v>
          </cell>
          <cell r="X133">
            <v>1</v>
          </cell>
          <cell r="Y133">
            <v>2</v>
          </cell>
          <cell r="Z133">
            <v>0</v>
          </cell>
          <cell r="AA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2</v>
          </cell>
          <cell r="AL133">
            <v>2</v>
          </cell>
          <cell r="AN133">
            <v>2</v>
          </cell>
          <cell r="AO133">
            <v>2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3</v>
          </cell>
          <cell r="BA133">
            <v>0</v>
          </cell>
          <cell r="BB133">
            <v>0</v>
          </cell>
          <cell r="BH133">
            <v>0</v>
          </cell>
          <cell r="BI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U133">
            <v>0</v>
          </cell>
          <cell r="BV133">
            <v>0</v>
          </cell>
          <cell r="BW133">
            <v>1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N133">
            <v>0</v>
          </cell>
          <cell r="CO133">
            <v>0</v>
          </cell>
          <cell r="CP133">
            <v>0</v>
          </cell>
          <cell r="CS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L133">
            <v>0</v>
          </cell>
          <cell r="DM133">
            <v>0</v>
          </cell>
          <cell r="DO133">
            <v>0</v>
          </cell>
          <cell r="DQ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R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BA134">
            <v>0</v>
          </cell>
          <cell r="BB134">
            <v>0</v>
          </cell>
          <cell r="BH134">
            <v>0</v>
          </cell>
          <cell r="BI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U134">
            <v>0</v>
          </cell>
          <cell r="BV134">
            <v>0</v>
          </cell>
          <cell r="BW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N134">
            <v>0</v>
          </cell>
          <cell r="CO134">
            <v>0</v>
          </cell>
          <cell r="CP134">
            <v>0</v>
          </cell>
          <cell r="CS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L134">
            <v>0</v>
          </cell>
          <cell r="DM134">
            <v>0</v>
          </cell>
          <cell r="DO134">
            <v>0</v>
          </cell>
          <cell r="DQ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R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BA135">
            <v>1</v>
          </cell>
          <cell r="BB135">
            <v>1</v>
          </cell>
          <cell r="BH135">
            <v>0</v>
          </cell>
          <cell r="BI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U135">
            <v>0</v>
          </cell>
          <cell r="BV135">
            <v>0</v>
          </cell>
          <cell r="BW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N135">
            <v>0</v>
          </cell>
          <cell r="CO135">
            <v>0</v>
          </cell>
          <cell r="CP135">
            <v>0</v>
          </cell>
          <cell r="CS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L135">
            <v>0</v>
          </cell>
          <cell r="DM135">
            <v>0</v>
          </cell>
          <cell r="DO135">
            <v>0</v>
          </cell>
          <cell r="DQ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1</v>
          </cell>
          <cell r="EC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R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BA136">
            <v>0</v>
          </cell>
          <cell r="BB136">
            <v>0</v>
          </cell>
          <cell r="BH136">
            <v>0</v>
          </cell>
          <cell r="BI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U136">
            <v>0</v>
          </cell>
          <cell r="BV136">
            <v>0</v>
          </cell>
          <cell r="BW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N136">
            <v>0</v>
          </cell>
          <cell r="CO136">
            <v>0</v>
          </cell>
          <cell r="CP136">
            <v>0</v>
          </cell>
          <cell r="CS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L136">
            <v>0</v>
          </cell>
          <cell r="DM136">
            <v>0</v>
          </cell>
          <cell r="DO136">
            <v>0</v>
          </cell>
          <cell r="DQ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</row>
        <row r="137">
          <cell r="D137">
            <v>1</v>
          </cell>
          <cell r="E137">
            <v>1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  <cell r="M137">
            <v>1</v>
          </cell>
          <cell r="N137">
            <v>2</v>
          </cell>
          <cell r="R137">
            <v>0</v>
          </cell>
          <cell r="V137">
            <v>1</v>
          </cell>
          <cell r="W137">
            <v>0</v>
          </cell>
          <cell r="X137">
            <v>4</v>
          </cell>
          <cell r="Y137">
            <v>2</v>
          </cell>
          <cell r="Z137">
            <v>0</v>
          </cell>
          <cell r="AA137">
            <v>0</v>
          </cell>
          <cell r="AE137">
            <v>6</v>
          </cell>
          <cell r="AF137">
            <v>6</v>
          </cell>
          <cell r="AG137">
            <v>0</v>
          </cell>
          <cell r="AH137">
            <v>1</v>
          </cell>
          <cell r="AI137">
            <v>0</v>
          </cell>
          <cell r="AJ137">
            <v>0</v>
          </cell>
          <cell r="AK137">
            <v>1</v>
          </cell>
          <cell r="AL137">
            <v>0</v>
          </cell>
          <cell r="AN137">
            <v>1</v>
          </cell>
          <cell r="AO137">
            <v>1</v>
          </cell>
          <cell r="AP137">
            <v>1</v>
          </cell>
          <cell r="AQ137">
            <v>0</v>
          </cell>
          <cell r="AR137">
            <v>0</v>
          </cell>
          <cell r="AS137">
            <v>0</v>
          </cell>
          <cell r="AU137">
            <v>0</v>
          </cell>
          <cell r="AV137">
            <v>0</v>
          </cell>
          <cell r="AW137">
            <v>2</v>
          </cell>
          <cell r="AX137">
            <v>18</v>
          </cell>
          <cell r="AY137">
            <v>2</v>
          </cell>
          <cell r="BA137">
            <v>0</v>
          </cell>
          <cell r="BB137">
            <v>0</v>
          </cell>
          <cell r="BH137">
            <v>0</v>
          </cell>
          <cell r="BI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8</v>
          </cell>
          <cell r="BQ137">
            <v>0</v>
          </cell>
          <cell r="BR137">
            <v>0</v>
          </cell>
          <cell r="BS137">
            <v>0</v>
          </cell>
          <cell r="BU137">
            <v>0</v>
          </cell>
          <cell r="BV137">
            <v>0</v>
          </cell>
          <cell r="BW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N137">
            <v>0</v>
          </cell>
          <cell r="CO137">
            <v>0</v>
          </cell>
          <cell r="CP137">
            <v>0</v>
          </cell>
          <cell r="CS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L137">
            <v>0</v>
          </cell>
          <cell r="DM137">
            <v>0</v>
          </cell>
          <cell r="DO137">
            <v>0</v>
          </cell>
          <cell r="DQ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R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N138">
            <v>0</v>
          </cell>
          <cell r="AO138">
            <v>0</v>
          </cell>
          <cell r="AP138">
            <v>2</v>
          </cell>
          <cell r="AQ138">
            <v>0</v>
          </cell>
          <cell r="AR138">
            <v>0</v>
          </cell>
          <cell r="AS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BA138">
            <v>0</v>
          </cell>
          <cell r="BB138">
            <v>0</v>
          </cell>
          <cell r="BH138">
            <v>0</v>
          </cell>
          <cell r="BI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U138">
            <v>0</v>
          </cell>
          <cell r="BV138">
            <v>0</v>
          </cell>
          <cell r="BW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N138">
            <v>0</v>
          </cell>
          <cell r="CO138">
            <v>0</v>
          </cell>
          <cell r="CP138">
            <v>0</v>
          </cell>
          <cell r="CS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L138">
            <v>0</v>
          </cell>
          <cell r="DM138">
            <v>0</v>
          </cell>
          <cell r="DO138">
            <v>0</v>
          </cell>
          <cell r="DQ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R139">
            <v>0</v>
          </cell>
          <cell r="V139">
            <v>0</v>
          </cell>
          <cell r="W139">
            <v>0</v>
          </cell>
          <cell r="X139">
            <v>2</v>
          </cell>
          <cell r="Y139">
            <v>2</v>
          </cell>
          <cell r="Z139">
            <v>0</v>
          </cell>
          <cell r="AA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BA139">
            <v>1</v>
          </cell>
          <cell r="BB139">
            <v>1</v>
          </cell>
          <cell r="BH139">
            <v>0</v>
          </cell>
          <cell r="BI139">
            <v>0</v>
          </cell>
          <cell r="BL139">
            <v>1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U139">
            <v>0</v>
          </cell>
          <cell r="BV139">
            <v>0</v>
          </cell>
          <cell r="BW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N139">
            <v>0</v>
          </cell>
          <cell r="CO139">
            <v>0</v>
          </cell>
          <cell r="CP139">
            <v>0</v>
          </cell>
          <cell r="CS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L139">
            <v>0</v>
          </cell>
          <cell r="DM139">
            <v>0</v>
          </cell>
          <cell r="DO139">
            <v>0</v>
          </cell>
          <cell r="DQ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</row>
        <row r="140">
          <cell r="D140">
            <v>0</v>
          </cell>
          <cell r="E140">
            <v>0</v>
          </cell>
          <cell r="F140">
            <v>2</v>
          </cell>
          <cell r="G140">
            <v>0</v>
          </cell>
          <cell r="H140">
            <v>0</v>
          </cell>
          <cell r="I140">
            <v>2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R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2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2</v>
          </cell>
          <cell r="AR140">
            <v>0</v>
          </cell>
          <cell r="AS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BA140">
            <v>0</v>
          </cell>
          <cell r="BB140">
            <v>0</v>
          </cell>
          <cell r="BH140">
            <v>0</v>
          </cell>
          <cell r="BI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U140">
            <v>0</v>
          </cell>
          <cell r="BV140">
            <v>0</v>
          </cell>
          <cell r="BW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N140">
            <v>0</v>
          </cell>
          <cell r="CO140">
            <v>0</v>
          </cell>
          <cell r="CP140">
            <v>0</v>
          </cell>
          <cell r="CS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L140">
            <v>0</v>
          </cell>
          <cell r="DM140">
            <v>0</v>
          </cell>
          <cell r="DO140">
            <v>0</v>
          </cell>
          <cell r="DQ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R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BA141">
            <v>0</v>
          </cell>
          <cell r="BB141">
            <v>0</v>
          </cell>
          <cell r="BH141">
            <v>0</v>
          </cell>
          <cell r="BI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U141">
            <v>0</v>
          </cell>
          <cell r="BV141">
            <v>0</v>
          </cell>
          <cell r="BW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N141">
            <v>0</v>
          </cell>
          <cell r="CO141">
            <v>0</v>
          </cell>
          <cell r="CP141">
            <v>0</v>
          </cell>
          <cell r="CS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L141">
            <v>0</v>
          </cell>
          <cell r="DM141">
            <v>0</v>
          </cell>
          <cell r="DO141">
            <v>0</v>
          </cell>
          <cell r="DQ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R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BA142">
            <v>2</v>
          </cell>
          <cell r="BB142">
            <v>2</v>
          </cell>
          <cell r="BH142">
            <v>0</v>
          </cell>
          <cell r="BI142">
            <v>0</v>
          </cell>
          <cell r="BL142">
            <v>2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U142">
            <v>0</v>
          </cell>
          <cell r="BV142">
            <v>0</v>
          </cell>
          <cell r="BW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N142">
            <v>0</v>
          </cell>
          <cell r="CO142">
            <v>0</v>
          </cell>
          <cell r="CP142">
            <v>0</v>
          </cell>
          <cell r="CS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L142">
            <v>0</v>
          </cell>
          <cell r="DM142">
            <v>0</v>
          </cell>
          <cell r="DO142">
            <v>0</v>
          </cell>
          <cell r="DQ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R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BA143">
            <v>0</v>
          </cell>
          <cell r="BB143">
            <v>0</v>
          </cell>
          <cell r="BH143">
            <v>0</v>
          </cell>
          <cell r="BI143">
            <v>0</v>
          </cell>
          <cell r="BL143">
            <v>0</v>
          </cell>
          <cell r="BM143">
            <v>0</v>
          </cell>
          <cell r="BN143">
            <v>4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U143">
            <v>0</v>
          </cell>
          <cell r="BV143">
            <v>0</v>
          </cell>
          <cell r="BW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N143">
            <v>0</v>
          </cell>
          <cell r="CO143">
            <v>0</v>
          </cell>
          <cell r="CP143">
            <v>0</v>
          </cell>
          <cell r="CS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L143">
            <v>0</v>
          </cell>
          <cell r="DM143">
            <v>0</v>
          </cell>
          <cell r="DO143">
            <v>0</v>
          </cell>
          <cell r="DQ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R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>
            <v>0</v>
          </cell>
          <cell r="AO144">
            <v>0</v>
          </cell>
          <cell r="AP144">
            <v>2</v>
          </cell>
          <cell r="AQ144">
            <v>0</v>
          </cell>
          <cell r="AR144">
            <v>0</v>
          </cell>
          <cell r="AS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BA144">
            <v>0</v>
          </cell>
          <cell r="BB144">
            <v>0</v>
          </cell>
          <cell r="BH144">
            <v>0</v>
          </cell>
          <cell r="BI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U144">
            <v>0</v>
          </cell>
          <cell r="BV144">
            <v>0</v>
          </cell>
          <cell r="BW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N144">
            <v>0</v>
          </cell>
          <cell r="CO144">
            <v>0</v>
          </cell>
          <cell r="CP144">
            <v>0</v>
          </cell>
          <cell r="CS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L144">
            <v>0</v>
          </cell>
          <cell r="DM144">
            <v>0</v>
          </cell>
          <cell r="DO144">
            <v>0</v>
          </cell>
          <cell r="DQ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R145">
            <v>0</v>
          </cell>
          <cell r="V145">
            <v>0</v>
          </cell>
          <cell r="W145">
            <v>1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BA145">
            <v>0</v>
          </cell>
          <cell r="BB145">
            <v>0</v>
          </cell>
          <cell r="BH145">
            <v>0</v>
          </cell>
          <cell r="BI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U145">
            <v>0</v>
          </cell>
          <cell r="BV145">
            <v>0</v>
          </cell>
          <cell r="BW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N145">
            <v>0</v>
          </cell>
          <cell r="CO145">
            <v>0</v>
          </cell>
          <cell r="CP145">
            <v>0</v>
          </cell>
          <cell r="CS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L145">
            <v>0</v>
          </cell>
          <cell r="DM145">
            <v>0</v>
          </cell>
          <cell r="DO145">
            <v>0</v>
          </cell>
          <cell r="DQ145">
            <v>1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R146">
            <v>0</v>
          </cell>
          <cell r="V146">
            <v>1</v>
          </cell>
          <cell r="W146">
            <v>0</v>
          </cell>
          <cell r="X146">
            <v>2</v>
          </cell>
          <cell r="Y146">
            <v>2</v>
          </cell>
          <cell r="Z146">
            <v>0</v>
          </cell>
          <cell r="AA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BA146">
            <v>0</v>
          </cell>
          <cell r="BB146">
            <v>0</v>
          </cell>
          <cell r="BH146">
            <v>0</v>
          </cell>
          <cell r="BI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U146">
            <v>0</v>
          </cell>
          <cell r="BV146">
            <v>0</v>
          </cell>
          <cell r="BW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N146">
            <v>0</v>
          </cell>
          <cell r="CO146">
            <v>0</v>
          </cell>
          <cell r="CP146">
            <v>0</v>
          </cell>
          <cell r="CS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L146">
            <v>0</v>
          </cell>
          <cell r="DM146">
            <v>0</v>
          </cell>
          <cell r="DO146">
            <v>0</v>
          </cell>
          <cell r="DQ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R147">
            <v>0</v>
          </cell>
          <cell r="V147">
            <v>0</v>
          </cell>
          <cell r="W147">
            <v>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BA147">
            <v>0</v>
          </cell>
          <cell r="BB147">
            <v>0</v>
          </cell>
          <cell r="BH147">
            <v>0</v>
          </cell>
          <cell r="BI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U147">
            <v>0</v>
          </cell>
          <cell r="BV147">
            <v>0</v>
          </cell>
          <cell r="BW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N147">
            <v>0</v>
          </cell>
          <cell r="CO147">
            <v>0</v>
          </cell>
          <cell r="CP147">
            <v>0</v>
          </cell>
          <cell r="CS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L147">
            <v>0</v>
          </cell>
          <cell r="DM147">
            <v>0</v>
          </cell>
          <cell r="DO147">
            <v>0</v>
          </cell>
          <cell r="DQ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R148">
            <v>0</v>
          </cell>
          <cell r="V148">
            <v>0</v>
          </cell>
          <cell r="W148">
            <v>2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U148">
            <v>1</v>
          </cell>
          <cell r="AV148">
            <v>1</v>
          </cell>
          <cell r="AW148">
            <v>0</v>
          </cell>
          <cell r="AX148">
            <v>0</v>
          </cell>
          <cell r="AY148">
            <v>0</v>
          </cell>
          <cell r="BA148">
            <v>0</v>
          </cell>
          <cell r="BB148">
            <v>0</v>
          </cell>
          <cell r="BH148">
            <v>0</v>
          </cell>
          <cell r="BI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1</v>
          </cell>
          <cell r="BR148">
            <v>1</v>
          </cell>
          <cell r="BS148">
            <v>2</v>
          </cell>
          <cell r="BU148">
            <v>0</v>
          </cell>
          <cell r="BV148">
            <v>0</v>
          </cell>
          <cell r="BW148">
            <v>1</v>
          </cell>
          <cell r="BZ148">
            <v>0</v>
          </cell>
          <cell r="CA148">
            <v>0</v>
          </cell>
          <cell r="CB148">
            <v>1</v>
          </cell>
          <cell r="CC148">
            <v>0</v>
          </cell>
          <cell r="CD148">
            <v>1</v>
          </cell>
          <cell r="CE148">
            <v>2</v>
          </cell>
          <cell r="CH148">
            <v>1</v>
          </cell>
          <cell r="CI148">
            <v>1</v>
          </cell>
          <cell r="CJ148">
            <v>1</v>
          </cell>
          <cell r="CK148">
            <v>1</v>
          </cell>
          <cell r="CN148">
            <v>1</v>
          </cell>
          <cell r="CO148">
            <v>0</v>
          </cell>
          <cell r="CP148">
            <v>0</v>
          </cell>
          <cell r="CS148">
            <v>0</v>
          </cell>
          <cell r="CU148">
            <v>1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2</v>
          </cell>
          <cell r="DB148">
            <v>5</v>
          </cell>
          <cell r="DC148">
            <v>0</v>
          </cell>
          <cell r="DD148">
            <v>6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L148">
            <v>0</v>
          </cell>
          <cell r="DM148">
            <v>0</v>
          </cell>
          <cell r="DO148">
            <v>0</v>
          </cell>
          <cell r="DQ148">
            <v>0</v>
          </cell>
          <cell r="DW148">
            <v>1</v>
          </cell>
          <cell r="DX148">
            <v>0</v>
          </cell>
          <cell r="DY148">
            <v>3</v>
          </cell>
          <cell r="DZ148">
            <v>0</v>
          </cell>
          <cell r="EA148">
            <v>0</v>
          </cell>
          <cell r="EB148">
            <v>1</v>
          </cell>
          <cell r="EC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R149">
            <v>0</v>
          </cell>
          <cell r="V149">
            <v>2</v>
          </cell>
          <cell r="W149">
            <v>0</v>
          </cell>
          <cell r="X149">
            <v>0</v>
          </cell>
          <cell r="Y149">
            <v>0</v>
          </cell>
          <cell r="Z149">
            <v>3</v>
          </cell>
          <cell r="AA149">
            <v>0</v>
          </cell>
          <cell r="AE149">
            <v>0</v>
          </cell>
          <cell r="AF149">
            <v>0</v>
          </cell>
          <cell r="AG149">
            <v>5</v>
          </cell>
          <cell r="AH149">
            <v>0</v>
          </cell>
          <cell r="AI149">
            <v>0</v>
          </cell>
          <cell r="AJ149">
            <v>1</v>
          </cell>
          <cell r="AK149">
            <v>0</v>
          </cell>
          <cell r="AL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BA149">
            <v>0</v>
          </cell>
          <cell r="BB149">
            <v>0</v>
          </cell>
          <cell r="BH149">
            <v>0</v>
          </cell>
          <cell r="BI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U149">
            <v>0</v>
          </cell>
          <cell r="BV149">
            <v>0</v>
          </cell>
          <cell r="BW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N149">
            <v>0</v>
          </cell>
          <cell r="CO149">
            <v>0</v>
          </cell>
          <cell r="CP149">
            <v>0</v>
          </cell>
          <cell r="CS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L149">
            <v>0</v>
          </cell>
          <cell r="DM149">
            <v>0</v>
          </cell>
          <cell r="DO149">
            <v>0</v>
          </cell>
          <cell r="DQ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R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BA150">
            <v>0</v>
          </cell>
          <cell r="BB150">
            <v>0</v>
          </cell>
          <cell r="BH150">
            <v>0</v>
          </cell>
          <cell r="BI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1</v>
          </cell>
          <cell r="BR150">
            <v>0</v>
          </cell>
          <cell r="BS150">
            <v>2</v>
          </cell>
          <cell r="BU150">
            <v>0</v>
          </cell>
          <cell r="BV150">
            <v>0</v>
          </cell>
          <cell r="BW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N150">
            <v>0</v>
          </cell>
          <cell r="CO150">
            <v>0</v>
          </cell>
          <cell r="CP150">
            <v>0</v>
          </cell>
          <cell r="CS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B150">
            <v>0</v>
          </cell>
          <cell r="DC150">
            <v>6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L150">
            <v>0</v>
          </cell>
          <cell r="DM150">
            <v>0</v>
          </cell>
          <cell r="DO150">
            <v>0</v>
          </cell>
          <cell r="DQ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2</v>
          </cell>
          <cell r="R151">
            <v>0</v>
          </cell>
          <cell r="V151">
            <v>0</v>
          </cell>
          <cell r="W151">
            <v>9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1</v>
          </cell>
          <cell r="AS151">
            <v>0</v>
          </cell>
          <cell r="AU151">
            <v>0</v>
          </cell>
          <cell r="AV151">
            <v>0</v>
          </cell>
          <cell r="AW151">
            <v>2</v>
          </cell>
          <cell r="AX151">
            <v>0</v>
          </cell>
          <cell r="AY151">
            <v>0</v>
          </cell>
          <cell r="BA151">
            <v>0</v>
          </cell>
          <cell r="BB151">
            <v>0</v>
          </cell>
          <cell r="BH151">
            <v>0</v>
          </cell>
          <cell r="BI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6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U151">
            <v>0</v>
          </cell>
          <cell r="BV151">
            <v>1</v>
          </cell>
          <cell r="BW151">
            <v>1</v>
          </cell>
          <cell r="BZ151">
            <v>2</v>
          </cell>
          <cell r="CA151">
            <v>0</v>
          </cell>
          <cell r="CB151">
            <v>2</v>
          </cell>
          <cell r="CC151">
            <v>0</v>
          </cell>
          <cell r="CD151">
            <v>0</v>
          </cell>
          <cell r="CE151">
            <v>0</v>
          </cell>
          <cell r="CH151">
            <v>3</v>
          </cell>
          <cell r="CI151">
            <v>4</v>
          </cell>
          <cell r="CJ151">
            <v>4</v>
          </cell>
          <cell r="CK151">
            <v>4</v>
          </cell>
          <cell r="CN151">
            <v>4</v>
          </cell>
          <cell r="CO151">
            <v>3</v>
          </cell>
          <cell r="CP151">
            <v>1</v>
          </cell>
          <cell r="CS151">
            <v>3</v>
          </cell>
          <cell r="CU151">
            <v>2</v>
          </cell>
          <cell r="CV151">
            <v>1</v>
          </cell>
          <cell r="CW151">
            <v>3</v>
          </cell>
          <cell r="CX151">
            <v>0</v>
          </cell>
          <cell r="CY151">
            <v>1</v>
          </cell>
          <cell r="CZ151">
            <v>3</v>
          </cell>
          <cell r="DB151">
            <v>0</v>
          </cell>
          <cell r="DC151">
            <v>2</v>
          </cell>
          <cell r="DD151">
            <v>0</v>
          </cell>
          <cell r="DE151">
            <v>0</v>
          </cell>
          <cell r="DF151">
            <v>6</v>
          </cell>
          <cell r="DG151">
            <v>1</v>
          </cell>
          <cell r="DH151">
            <v>0</v>
          </cell>
          <cell r="DL151">
            <v>1</v>
          </cell>
          <cell r="DM151">
            <v>1</v>
          </cell>
          <cell r="DO151">
            <v>0</v>
          </cell>
          <cell r="DQ151">
            <v>1</v>
          </cell>
          <cell r="DW151">
            <v>22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R152">
            <v>0</v>
          </cell>
          <cell r="V152">
            <v>0</v>
          </cell>
          <cell r="W152">
            <v>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BA152">
            <v>0</v>
          </cell>
          <cell r="BB152">
            <v>0</v>
          </cell>
          <cell r="BH152">
            <v>0</v>
          </cell>
          <cell r="BI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U152">
            <v>0</v>
          </cell>
          <cell r="BV152">
            <v>0</v>
          </cell>
          <cell r="BW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N152">
            <v>0</v>
          </cell>
          <cell r="CO152">
            <v>0</v>
          </cell>
          <cell r="CP152">
            <v>0</v>
          </cell>
          <cell r="CS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4</v>
          </cell>
          <cell r="DH152">
            <v>0</v>
          </cell>
          <cell r="DL152">
            <v>0</v>
          </cell>
          <cell r="DM152">
            <v>0</v>
          </cell>
          <cell r="DO152">
            <v>0</v>
          </cell>
          <cell r="DQ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R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BA153">
            <v>0</v>
          </cell>
          <cell r="BB153">
            <v>0</v>
          </cell>
          <cell r="BH153">
            <v>0</v>
          </cell>
          <cell r="BI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U153">
            <v>0</v>
          </cell>
          <cell r="BV153">
            <v>0</v>
          </cell>
          <cell r="BW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N153">
            <v>0</v>
          </cell>
          <cell r="CO153">
            <v>0</v>
          </cell>
          <cell r="CP153">
            <v>0</v>
          </cell>
          <cell r="CS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L153">
            <v>0</v>
          </cell>
          <cell r="DM153">
            <v>0</v>
          </cell>
          <cell r="DO153">
            <v>0</v>
          </cell>
          <cell r="DQ153">
            <v>0</v>
          </cell>
          <cell r="DW153">
            <v>2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R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BA154">
            <v>0</v>
          </cell>
          <cell r="BB154">
            <v>0</v>
          </cell>
          <cell r="BH154">
            <v>0</v>
          </cell>
          <cell r="BI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U154">
            <v>1</v>
          </cell>
          <cell r="BV154">
            <v>0</v>
          </cell>
          <cell r="BW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N154">
            <v>0</v>
          </cell>
          <cell r="CO154">
            <v>0</v>
          </cell>
          <cell r="CP154">
            <v>0</v>
          </cell>
          <cell r="CS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L154">
            <v>0</v>
          </cell>
          <cell r="DM154">
            <v>0</v>
          </cell>
          <cell r="DO154">
            <v>0</v>
          </cell>
          <cell r="DQ154">
            <v>0</v>
          </cell>
          <cell r="DW154">
            <v>0</v>
          </cell>
          <cell r="DX154">
            <v>0</v>
          </cell>
          <cell r="DY154">
            <v>2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R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BA155">
            <v>0</v>
          </cell>
          <cell r="BB155">
            <v>0</v>
          </cell>
          <cell r="BH155">
            <v>0</v>
          </cell>
          <cell r="BI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U155">
            <v>0</v>
          </cell>
          <cell r="BV155">
            <v>0</v>
          </cell>
          <cell r="BW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N155">
            <v>0</v>
          </cell>
          <cell r="CO155">
            <v>0</v>
          </cell>
          <cell r="CP155">
            <v>0</v>
          </cell>
          <cell r="CS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L155">
            <v>0</v>
          </cell>
          <cell r="DM155">
            <v>0</v>
          </cell>
          <cell r="DO155">
            <v>0</v>
          </cell>
          <cell r="DQ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R156">
            <v>0</v>
          </cell>
          <cell r="V156">
            <v>0</v>
          </cell>
          <cell r="W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BA156">
            <v>0</v>
          </cell>
          <cell r="BB156">
            <v>0</v>
          </cell>
          <cell r="BH156">
            <v>0</v>
          </cell>
          <cell r="BI156">
            <v>0</v>
          </cell>
          <cell r="BL156">
            <v>0</v>
          </cell>
          <cell r="BM156">
            <v>16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U156">
            <v>0</v>
          </cell>
          <cell r="BV156">
            <v>0</v>
          </cell>
          <cell r="BW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H156">
            <v>0</v>
          </cell>
          <cell r="CI156">
            <v>7</v>
          </cell>
          <cell r="CJ156">
            <v>7</v>
          </cell>
          <cell r="CK156">
            <v>5</v>
          </cell>
          <cell r="CN156">
            <v>5</v>
          </cell>
          <cell r="CO156">
            <v>2</v>
          </cell>
          <cell r="CP156">
            <v>1</v>
          </cell>
          <cell r="CS156">
            <v>1</v>
          </cell>
          <cell r="CU156">
            <v>0</v>
          </cell>
          <cell r="CV156">
            <v>1</v>
          </cell>
          <cell r="CW156">
            <v>1</v>
          </cell>
          <cell r="CX156">
            <v>0</v>
          </cell>
          <cell r="CY156">
            <v>1</v>
          </cell>
          <cell r="CZ156">
            <v>5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1</v>
          </cell>
          <cell r="DL156">
            <v>1</v>
          </cell>
          <cell r="DM156">
            <v>1</v>
          </cell>
          <cell r="DO156">
            <v>0</v>
          </cell>
          <cell r="DQ156">
            <v>0</v>
          </cell>
          <cell r="DW156">
            <v>0</v>
          </cell>
          <cell r="DX156">
            <v>0</v>
          </cell>
          <cell r="DY156">
            <v>2</v>
          </cell>
          <cell r="DZ156">
            <v>0</v>
          </cell>
          <cell r="EA156">
            <v>0</v>
          </cell>
          <cell r="EB156">
            <v>0</v>
          </cell>
          <cell r="EC156">
            <v>3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R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BA157">
            <v>0</v>
          </cell>
          <cell r="BB157">
            <v>0</v>
          </cell>
          <cell r="BH157">
            <v>0</v>
          </cell>
          <cell r="BI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U157">
            <v>0</v>
          </cell>
          <cell r="BV157">
            <v>0</v>
          </cell>
          <cell r="BW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N157">
            <v>0</v>
          </cell>
          <cell r="CO157">
            <v>0</v>
          </cell>
          <cell r="CP157">
            <v>0</v>
          </cell>
          <cell r="CS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L157">
            <v>0</v>
          </cell>
          <cell r="DM157">
            <v>0</v>
          </cell>
          <cell r="DO157">
            <v>0</v>
          </cell>
          <cell r="DQ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0</v>
          </cell>
          <cell r="EB157">
            <v>0</v>
          </cell>
          <cell r="EC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R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BA158">
            <v>0</v>
          </cell>
          <cell r="BB158">
            <v>0</v>
          </cell>
          <cell r="BH158">
            <v>0</v>
          </cell>
          <cell r="BI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U158">
            <v>0</v>
          </cell>
          <cell r="BV158">
            <v>0</v>
          </cell>
          <cell r="BW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N158">
            <v>0</v>
          </cell>
          <cell r="CO158">
            <v>0</v>
          </cell>
          <cell r="CP158">
            <v>0</v>
          </cell>
          <cell r="CS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B158">
            <v>0</v>
          </cell>
          <cell r="DC158">
            <v>4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L158">
            <v>0</v>
          </cell>
          <cell r="DM158">
            <v>0</v>
          </cell>
          <cell r="DO158">
            <v>0</v>
          </cell>
          <cell r="DQ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R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E159">
            <v>1</v>
          </cell>
          <cell r="AF159">
            <v>1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BA159">
            <v>0</v>
          </cell>
          <cell r="BB159">
            <v>0</v>
          </cell>
          <cell r="BH159">
            <v>0</v>
          </cell>
          <cell r="BI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U159">
            <v>0</v>
          </cell>
          <cell r="BV159">
            <v>0</v>
          </cell>
          <cell r="BW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N159">
            <v>0</v>
          </cell>
          <cell r="CO159">
            <v>0</v>
          </cell>
          <cell r="CP159">
            <v>0</v>
          </cell>
          <cell r="CS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L159">
            <v>0</v>
          </cell>
          <cell r="DM159">
            <v>0</v>
          </cell>
          <cell r="DO159">
            <v>0</v>
          </cell>
          <cell r="DQ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R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E160">
            <v>1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BA160">
            <v>0</v>
          </cell>
          <cell r="BB160">
            <v>0</v>
          </cell>
          <cell r="BH160">
            <v>0</v>
          </cell>
          <cell r="BI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U160">
            <v>0</v>
          </cell>
          <cell r="BV160">
            <v>0</v>
          </cell>
          <cell r="BW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N160">
            <v>0</v>
          </cell>
          <cell r="CO160">
            <v>0</v>
          </cell>
          <cell r="CP160">
            <v>0</v>
          </cell>
          <cell r="CS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L160">
            <v>0</v>
          </cell>
          <cell r="DM160">
            <v>0</v>
          </cell>
          <cell r="DO160">
            <v>0</v>
          </cell>
          <cell r="DQ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R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E161">
            <v>0</v>
          </cell>
          <cell r="AF161">
            <v>1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BA161">
            <v>0</v>
          </cell>
          <cell r="BB161">
            <v>0</v>
          </cell>
          <cell r="BH161">
            <v>0</v>
          </cell>
          <cell r="BI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U161">
            <v>0</v>
          </cell>
          <cell r="BV161">
            <v>0</v>
          </cell>
          <cell r="BW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N161">
            <v>0</v>
          </cell>
          <cell r="CO161">
            <v>0</v>
          </cell>
          <cell r="CP161">
            <v>0</v>
          </cell>
          <cell r="CS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L161">
            <v>0</v>
          </cell>
          <cell r="DM161">
            <v>0</v>
          </cell>
          <cell r="DO161">
            <v>0</v>
          </cell>
          <cell r="DQ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R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BA162">
            <v>0</v>
          </cell>
          <cell r="BB162">
            <v>0</v>
          </cell>
          <cell r="BH162">
            <v>0</v>
          </cell>
          <cell r="BI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U162">
            <v>0</v>
          </cell>
          <cell r="BV162">
            <v>0</v>
          </cell>
          <cell r="BW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N162">
            <v>0</v>
          </cell>
          <cell r="CO162">
            <v>0</v>
          </cell>
          <cell r="CP162">
            <v>0</v>
          </cell>
          <cell r="CS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L162">
            <v>0</v>
          </cell>
          <cell r="DM162">
            <v>0</v>
          </cell>
          <cell r="DO162">
            <v>0</v>
          </cell>
          <cell r="DQ162">
            <v>0</v>
          </cell>
          <cell r="DW162">
            <v>7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R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BA163">
            <v>0</v>
          </cell>
          <cell r="BB163">
            <v>0</v>
          </cell>
          <cell r="BH163">
            <v>0</v>
          </cell>
          <cell r="BI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U163">
            <v>0</v>
          </cell>
          <cell r="BV163">
            <v>0</v>
          </cell>
          <cell r="BW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H163">
            <v>0</v>
          </cell>
          <cell r="CI163">
            <v>1</v>
          </cell>
          <cell r="CJ163">
            <v>1</v>
          </cell>
          <cell r="CK163">
            <v>0</v>
          </cell>
          <cell r="CN163">
            <v>0</v>
          </cell>
          <cell r="CO163">
            <v>0</v>
          </cell>
          <cell r="CP163">
            <v>0</v>
          </cell>
          <cell r="CS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L163">
            <v>0</v>
          </cell>
          <cell r="DM163">
            <v>0</v>
          </cell>
          <cell r="DO163">
            <v>0</v>
          </cell>
          <cell r="DQ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R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BA164">
            <v>0</v>
          </cell>
          <cell r="BB164">
            <v>0</v>
          </cell>
          <cell r="BH164">
            <v>0</v>
          </cell>
          <cell r="BI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U164">
            <v>0</v>
          </cell>
          <cell r="BV164">
            <v>0</v>
          </cell>
          <cell r="BW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H164">
            <v>1</v>
          </cell>
          <cell r="CI164">
            <v>0</v>
          </cell>
          <cell r="CJ164">
            <v>0</v>
          </cell>
          <cell r="CK164">
            <v>0</v>
          </cell>
          <cell r="CN164">
            <v>0</v>
          </cell>
          <cell r="CO164">
            <v>0</v>
          </cell>
          <cell r="CP164">
            <v>0</v>
          </cell>
          <cell r="CS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L164">
            <v>0</v>
          </cell>
          <cell r="DM164">
            <v>0</v>
          </cell>
          <cell r="DO164">
            <v>0</v>
          </cell>
          <cell r="DQ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</row>
        <row r="165">
          <cell r="D165">
            <v>1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R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BA165">
            <v>0</v>
          </cell>
          <cell r="BB165">
            <v>0</v>
          </cell>
          <cell r="BH165">
            <v>0</v>
          </cell>
          <cell r="BI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U165">
            <v>0</v>
          </cell>
          <cell r="BV165">
            <v>0</v>
          </cell>
          <cell r="BW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H165">
            <v>1</v>
          </cell>
          <cell r="CI165">
            <v>0</v>
          </cell>
          <cell r="CJ165">
            <v>0</v>
          </cell>
          <cell r="CK165">
            <v>0</v>
          </cell>
          <cell r="CN165">
            <v>0</v>
          </cell>
          <cell r="CO165">
            <v>0</v>
          </cell>
          <cell r="CP165">
            <v>0</v>
          </cell>
          <cell r="CS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L165">
            <v>0</v>
          </cell>
          <cell r="DM165">
            <v>0</v>
          </cell>
          <cell r="DO165">
            <v>0</v>
          </cell>
          <cell r="DQ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R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2</v>
          </cell>
          <cell r="AA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BA166">
            <v>0</v>
          </cell>
          <cell r="BB166">
            <v>0</v>
          </cell>
          <cell r="BH166">
            <v>0</v>
          </cell>
          <cell r="BI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U166">
            <v>0</v>
          </cell>
          <cell r="BV166">
            <v>0</v>
          </cell>
          <cell r="BW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N166">
            <v>0</v>
          </cell>
          <cell r="CO166">
            <v>0</v>
          </cell>
          <cell r="CP166">
            <v>0</v>
          </cell>
          <cell r="CS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L166">
            <v>0</v>
          </cell>
          <cell r="DM166">
            <v>0</v>
          </cell>
          <cell r="DO166">
            <v>0</v>
          </cell>
          <cell r="DQ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R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BA167">
            <v>0</v>
          </cell>
          <cell r="BB167">
            <v>0</v>
          </cell>
          <cell r="BH167">
            <v>0</v>
          </cell>
          <cell r="BI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U167">
            <v>0</v>
          </cell>
          <cell r="BV167">
            <v>0</v>
          </cell>
          <cell r="BW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N167">
            <v>0</v>
          </cell>
          <cell r="CO167">
            <v>0</v>
          </cell>
          <cell r="CP167">
            <v>0</v>
          </cell>
          <cell r="CS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L167">
            <v>0</v>
          </cell>
          <cell r="DM167">
            <v>0</v>
          </cell>
          <cell r="DO167">
            <v>0</v>
          </cell>
          <cell r="DQ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R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BA168">
            <v>0</v>
          </cell>
          <cell r="BB168">
            <v>0</v>
          </cell>
          <cell r="BH168">
            <v>0</v>
          </cell>
          <cell r="BI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U168">
            <v>0</v>
          </cell>
          <cell r="BV168">
            <v>0</v>
          </cell>
          <cell r="BW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N168">
            <v>0</v>
          </cell>
          <cell r="CO168">
            <v>0</v>
          </cell>
          <cell r="CP168">
            <v>0</v>
          </cell>
          <cell r="CS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L168">
            <v>0</v>
          </cell>
          <cell r="DM168">
            <v>0</v>
          </cell>
          <cell r="DO168">
            <v>0</v>
          </cell>
          <cell r="DQ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R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BA169">
            <v>0</v>
          </cell>
          <cell r="BB169">
            <v>0</v>
          </cell>
          <cell r="BH169">
            <v>0</v>
          </cell>
          <cell r="BI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U169">
            <v>0</v>
          </cell>
          <cell r="BV169">
            <v>0</v>
          </cell>
          <cell r="BW169">
            <v>1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N169">
            <v>0</v>
          </cell>
          <cell r="CO169">
            <v>0</v>
          </cell>
          <cell r="CP169">
            <v>0</v>
          </cell>
          <cell r="CS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1</v>
          </cell>
          <cell r="DG169">
            <v>0</v>
          </cell>
          <cell r="DH169">
            <v>0</v>
          </cell>
          <cell r="DL169">
            <v>0</v>
          </cell>
          <cell r="DM169">
            <v>0</v>
          </cell>
          <cell r="DO169">
            <v>0</v>
          </cell>
          <cell r="DQ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R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BA170">
            <v>0</v>
          </cell>
          <cell r="BB170">
            <v>0</v>
          </cell>
          <cell r="BH170">
            <v>0</v>
          </cell>
          <cell r="BI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U170">
            <v>0</v>
          </cell>
          <cell r="BV170">
            <v>0</v>
          </cell>
          <cell r="BW170">
            <v>2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1</v>
          </cell>
          <cell r="CE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N170">
            <v>0</v>
          </cell>
          <cell r="CO170">
            <v>0</v>
          </cell>
          <cell r="CP170">
            <v>0</v>
          </cell>
          <cell r="CS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L170">
            <v>0</v>
          </cell>
          <cell r="DM170">
            <v>0</v>
          </cell>
          <cell r="DO170">
            <v>0</v>
          </cell>
          <cell r="DQ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R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BA171">
            <v>0</v>
          </cell>
          <cell r="BB171">
            <v>0</v>
          </cell>
          <cell r="BH171">
            <v>0</v>
          </cell>
          <cell r="BI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U171">
            <v>0</v>
          </cell>
          <cell r="BV171">
            <v>0</v>
          </cell>
          <cell r="BW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N171">
            <v>0</v>
          </cell>
          <cell r="CO171">
            <v>0</v>
          </cell>
          <cell r="CP171">
            <v>0</v>
          </cell>
          <cell r="CS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L171">
            <v>0</v>
          </cell>
          <cell r="DM171">
            <v>0</v>
          </cell>
          <cell r="DO171">
            <v>0</v>
          </cell>
          <cell r="DQ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R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BA172">
            <v>0</v>
          </cell>
          <cell r="BB172">
            <v>0</v>
          </cell>
          <cell r="BH172">
            <v>0</v>
          </cell>
          <cell r="BI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U172">
            <v>0</v>
          </cell>
          <cell r="BV172">
            <v>0</v>
          </cell>
          <cell r="BW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N172">
            <v>0</v>
          </cell>
          <cell r="CO172">
            <v>0</v>
          </cell>
          <cell r="CP172">
            <v>0</v>
          </cell>
          <cell r="CS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L172">
            <v>0</v>
          </cell>
          <cell r="DM172">
            <v>0</v>
          </cell>
          <cell r="DO172">
            <v>0</v>
          </cell>
          <cell r="DQ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R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BA173">
            <v>0</v>
          </cell>
          <cell r="BB173">
            <v>0</v>
          </cell>
          <cell r="BH173">
            <v>0</v>
          </cell>
          <cell r="BI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U173">
            <v>0</v>
          </cell>
          <cell r="BV173">
            <v>0</v>
          </cell>
          <cell r="BW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N173">
            <v>0</v>
          </cell>
          <cell r="CO173">
            <v>0</v>
          </cell>
          <cell r="CP173">
            <v>0</v>
          </cell>
          <cell r="CS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L173">
            <v>0</v>
          </cell>
          <cell r="DM173">
            <v>0</v>
          </cell>
          <cell r="DO173">
            <v>0</v>
          </cell>
          <cell r="DQ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R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BA174">
            <v>0</v>
          </cell>
          <cell r="BB174">
            <v>0</v>
          </cell>
          <cell r="BH174">
            <v>0</v>
          </cell>
          <cell r="BI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U174">
            <v>0</v>
          </cell>
          <cell r="BV174">
            <v>0</v>
          </cell>
          <cell r="BW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N174">
            <v>0</v>
          </cell>
          <cell r="CO174">
            <v>0</v>
          </cell>
          <cell r="CP174">
            <v>0</v>
          </cell>
          <cell r="CS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L174">
            <v>0</v>
          </cell>
          <cell r="DM174">
            <v>0</v>
          </cell>
          <cell r="DO174">
            <v>0</v>
          </cell>
          <cell r="DQ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R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BA175">
            <v>0</v>
          </cell>
          <cell r="BB175">
            <v>0</v>
          </cell>
          <cell r="BH175">
            <v>0</v>
          </cell>
          <cell r="BI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U175">
            <v>0</v>
          </cell>
          <cell r="BV175">
            <v>0</v>
          </cell>
          <cell r="BW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N175">
            <v>0</v>
          </cell>
          <cell r="CO175">
            <v>0</v>
          </cell>
          <cell r="CP175">
            <v>0</v>
          </cell>
          <cell r="CS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L175">
            <v>0</v>
          </cell>
          <cell r="DM175">
            <v>0</v>
          </cell>
          <cell r="DO175">
            <v>0</v>
          </cell>
          <cell r="DQ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R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BA176">
            <v>0</v>
          </cell>
          <cell r="BB176">
            <v>0</v>
          </cell>
          <cell r="BH176">
            <v>0</v>
          </cell>
          <cell r="BI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U176">
            <v>0</v>
          </cell>
          <cell r="BV176">
            <v>0</v>
          </cell>
          <cell r="BW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N176">
            <v>0</v>
          </cell>
          <cell r="CO176">
            <v>0</v>
          </cell>
          <cell r="CP176">
            <v>0</v>
          </cell>
          <cell r="CS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L176">
            <v>0</v>
          </cell>
          <cell r="DM176">
            <v>0</v>
          </cell>
          <cell r="DO176">
            <v>0</v>
          </cell>
          <cell r="DQ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R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BA177">
            <v>0</v>
          </cell>
          <cell r="BB177">
            <v>0</v>
          </cell>
          <cell r="BH177">
            <v>0</v>
          </cell>
          <cell r="BI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U177">
            <v>0</v>
          </cell>
          <cell r="BV177">
            <v>0</v>
          </cell>
          <cell r="BW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N177">
            <v>0</v>
          </cell>
          <cell r="CO177">
            <v>0</v>
          </cell>
          <cell r="CP177">
            <v>0</v>
          </cell>
          <cell r="CS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L177">
            <v>0</v>
          </cell>
          <cell r="DM177">
            <v>0</v>
          </cell>
          <cell r="DO177">
            <v>0</v>
          </cell>
          <cell r="DQ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1</v>
          </cell>
          <cell r="R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U178">
            <v>0</v>
          </cell>
          <cell r="AV178">
            <v>0</v>
          </cell>
          <cell r="AW178">
            <v>1</v>
          </cell>
          <cell r="AX178">
            <v>0</v>
          </cell>
          <cell r="AY178">
            <v>0</v>
          </cell>
          <cell r="BA178">
            <v>0</v>
          </cell>
          <cell r="BB178">
            <v>0</v>
          </cell>
          <cell r="BH178">
            <v>0</v>
          </cell>
          <cell r="BI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U178">
            <v>0</v>
          </cell>
          <cell r="BV178">
            <v>0</v>
          </cell>
          <cell r="BW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N178">
            <v>0</v>
          </cell>
          <cell r="CO178">
            <v>0</v>
          </cell>
          <cell r="CP178">
            <v>0</v>
          </cell>
          <cell r="CS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L178">
            <v>0</v>
          </cell>
          <cell r="DM178">
            <v>0</v>
          </cell>
          <cell r="DO178">
            <v>0</v>
          </cell>
          <cell r="DQ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</v>
          </cell>
          <cell r="R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U179">
            <v>0</v>
          </cell>
          <cell r="AV179">
            <v>0</v>
          </cell>
          <cell r="AW179">
            <v>1</v>
          </cell>
          <cell r="AX179">
            <v>0</v>
          </cell>
          <cell r="AY179">
            <v>0</v>
          </cell>
          <cell r="BA179">
            <v>0</v>
          </cell>
          <cell r="BB179">
            <v>0</v>
          </cell>
          <cell r="BH179">
            <v>0</v>
          </cell>
          <cell r="BI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1</v>
          </cell>
          <cell r="BR179">
            <v>0</v>
          </cell>
          <cell r="BS179">
            <v>0</v>
          </cell>
          <cell r="BU179">
            <v>0</v>
          </cell>
          <cell r="BV179">
            <v>0</v>
          </cell>
          <cell r="BW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N179">
            <v>0</v>
          </cell>
          <cell r="CO179">
            <v>0</v>
          </cell>
          <cell r="CP179">
            <v>0</v>
          </cell>
          <cell r="CS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L179">
            <v>0</v>
          </cell>
          <cell r="DM179">
            <v>0</v>
          </cell>
          <cell r="DO179">
            <v>0</v>
          </cell>
          <cell r="DQ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R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BA180">
            <v>0</v>
          </cell>
          <cell r="BB180">
            <v>0</v>
          </cell>
          <cell r="BH180">
            <v>0</v>
          </cell>
          <cell r="BI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1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U180">
            <v>0</v>
          </cell>
          <cell r="BV180">
            <v>0</v>
          </cell>
          <cell r="BW180">
            <v>0</v>
          </cell>
          <cell r="BZ180">
            <v>0</v>
          </cell>
          <cell r="CA180">
            <v>2</v>
          </cell>
          <cell r="CB180">
            <v>0</v>
          </cell>
          <cell r="CC180">
            <v>1</v>
          </cell>
          <cell r="CD180">
            <v>0</v>
          </cell>
          <cell r="CE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N180">
            <v>0</v>
          </cell>
          <cell r="CO180">
            <v>0</v>
          </cell>
          <cell r="CP180">
            <v>0</v>
          </cell>
          <cell r="CS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L180">
            <v>0</v>
          </cell>
          <cell r="DM180">
            <v>0</v>
          </cell>
          <cell r="DO180">
            <v>0</v>
          </cell>
          <cell r="DQ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R181">
            <v>0</v>
          </cell>
          <cell r="V181">
            <v>1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E181">
            <v>1</v>
          </cell>
          <cell r="AF181">
            <v>1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1</v>
          </cell>
          <cell r="AY181">
            <v>0</v>
          </cell>
          <cell r="BA181">
            <v>0</v>
          </cell>
          <cell r="BB181">
            <v>0</v>
          </cell>
          <cell r="BH181">
            <v>0</v>
          </cell>
          <cell r="BI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8</v>
          </cell>
          <cell r="BQ181">
            <v>0</v>
          </cell>
          <cell r="BR181">
            <v>0</v>
          </cell>
          <cell r="BS181">
            <v>0</v>
          </cell>
          <cell r="BU181">
            <v>0</v>
          </cell>
          <cell r="BV181">
            <v>0</v>
          </cell>
          <cell r="BW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N181">
            <v>0</v>
          </cell>
          <cell r="CO181">
            <v>0</v>
          </cell>
          <cell r="CP181">
            <v>0</v>
          </cell>
          <cell r="CS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L181">
            <v>0</v>
          </cell>
          <cell r="DM181">
            <v>0</v>
          </cell>
          <cell r="DO181">
            <v>0</v>
          </cell>
          <cell r="DQ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</row>
        <row r="182">
          <cell r="D182">
            <v>1</v>
          </cell>
          <cell r="E182">
            <v>1</v>
          </cell>
          <cell r="F182">
            <v>3</v>
          </cell>
          <cell r="G182">
            <v>0</v>
          </cell>
          <cell r="H182">
            <v>0</v>
          </cell>
          <cell r="I182">
            <v>3</v>
          </cell>
          <cell r="K182">
            <v>0</v>
          </cell>
          <cell r="L182">
            <v>0</v>
          </cell>
          <cell r="M182">
            <v>1</v>
          </cell>
          <cell r="N182">
            <v>0</v>
          </cell>
          <cell r="R182">
            <v>0</v>
          </cell>
          <cell r="V182">
            <v>1</v>
          </cell>
          <cell r="W182">
            <v>0</v>
          </cell>
          <cell r="X182">
            <v>0</v>
          </cell>
          <cell r="Y182">
            <v>1</v>
          </cell>
          <cell r="Z182">
            <v>7</v>
          </cell>
          <cell r="AA182">
            <v>3</v>
          </cell>
          <cell r="AE182">
            <v>1</v>
          </cell>
          <cell r="AF182">
            <v>1</v>
          </cell>
          <cell r="AG182">
            <v>0</v>
          </cell>
          <cell r="AH182">
            <v>0</v>
          </cell>
          <cell r="AI182">
            <v>0</v>
          </cell>
          <cell r="AJ182">
            <v>1</v>
          </cell>
          <cell r="AK182">
            <v>1</v>
          </cell>
          <cell r="AL182">
            <v>1</v>
          </cell>
          <cell r="AN182">
            <v>1</v>
          </cell>
          <cell r="AO182">
            <v>1</v>
          </cell>
          <cell r="AP182">
            <v>5</v>
          </cell>
          <cell r="AQ182">
            <v>3</v>
          </cell>
          <cell r="AR182">
            <v>0</v>
          </cell>
          <cell r="AS182">
            <v>0</v>
          </cell>
          <cell r="AU182">
            <v>6</v>
          </cell>
          <cell r="AV182">
            <v>7</v>
          </cell>
          <cell r="AW182">
            <v>0</v>
          </cell>
          <cell r="AX182">
            <v>9</v>
          </cell>
          <cell r="AY182">
            <v>3</v>
          </cell>
          <cell r="BA182">
            <v>3</v>
          </cell>
          <cell r="BB182">
            <v>4</v>
          </cell>
          <cell r="BH182">
            <v>0</v>
          </cell>
          <cell r="BI182">
            <v>0</v>
          </cell>
          <cell r="BL182">
            <v>3</v>
          </cell>
          <cell r="BM182">
            <v>4</v>
          </cell>
          <cell r="BN182">
            <v>4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U182">
            <v>0</v>
          </cell>
          <cell r="BV182">
            <v>0</v>
          </cell>
          <cell r="BW182">
            <v>3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N182">
            <v>0</v>
          </cell>
          <cell r="CO182">
            <v>0</v>
          </cell>
          <cell r="CP182">
            <v>0</v>
          </cell>
          <cell r="CS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L182">
            <v>0</v>
          </cell>
          <cell r="DM182">
            <v>0</v>
          </cell>
          <cell r="DO182">
            <v>0</v>
          </cell>
          <cell r="DQ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R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BA183">
            <v>0</v>
          </cell>
          <cell r="BB183">
            <v>0</v>
          </cell>
          <cell r="BH183">
            <v>0</v>
          </cell>
          <cell r="BI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U183">
            <v>0</v>
          </cell>
          <cell r="BV183">
            <v>0</v>
          </cell>
          <cell r="BW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N183">
            <v>0</v>
          </cell>
          <cell r="CO183">
            <v>0</v>
          </cell>
          <cell r="CP183">
            <v>0</v>
          </cell>
          <cell r="CS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L183">
            <v>0</v>
          </cell>
          <cell r="DM183">
            <v>0</v>
          </cell>
          <cell r="DO183">
            <v>0</v>
          </cell>
          <cell r="DQ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R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BA184">
            <v>0</v>
          </cell>
          <cell r="BB184">
            <v>0</v>
          </cell>
          <cell r="BH184">
            <v>0</v>
          </cell>
          <cell r="BI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U184">
            <v>0</v>
          </cell>
          <cell r="BV184">
            <v>0</v>
          </cell>
          <cell r="BW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N184">
            <v>0</v>
          </cell>
          <cell r="CO184">
            <v>0</v>
          </cell>
          <cell r="CP184">
            <v>0</v>
          </cell>
          <cell r="CS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L184">
            <v>0</v>
          </cell>
          <cell r="DM184">
            <v>0</v>
          </cell>
          <cell r="DO184">
            <v>0</v>
          </cell>
          <cell r="DQ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R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BA185">
            <v>0</v>
          </cell>
          <cell r="BB185">
            <v>0</v>
          </cell>
          <cell r="BH185">
            <v>0</v>
          </cell>
          <cell r="BI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U185">
            <v>0</v>
          </cell>
          <cell r="BV185">
            <v>1</v>
          </cell>
          <cell r="BW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N185">
            <v>0</v>
          </cell>
          <cell r="CO185">
            <v>0</v>
          </cell>
          <cell r="CP185">
            <v>0</v>
          </cell>
          <cell r="CS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L185">
            <v>0</v>
          </cell>
          <cell r="DM185">
            <v>0</v>
          </cell>
          <cell r="DO185">
            <v>0</v>
          </cell>
          <cell r="DQ185">
            <v>0</v>
          </cell>
          <cell r="DW185">
            <v>0</v>
          </cell>
          <cell r="DX185">
            <v>1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R186">
            <v>0</v>
          </cell>
          <cell r="V186">
            <v>0</v>
          </cell>
          <cell r="W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1</v>
          </cell>
          <cell r="AS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BA186">
            <v>0</v>
          </cell>
          <cell r="BB186">
            <v>0</v>
          </cell>
          <cell r="BH186">
            <v>0</v>
          </cell>
          <cell r="BI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U186">
            <v>0</v>
          </cell>
          <cell r="BV186">
            <v>0</v>
          </cell>
          <cell r="BW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H186">
            <v>0</v>
          </cell>
          <cell r="CI186">
            <v>6</v>
          </cell>
          <cell r="CJ186">
            <v>6</v>
          </cell>
          <cell r="CK186">
            <v>3</v>
          </cell>
          <cell r="CN186">
            <v>3</v>
          </cell>
          <cell r="CO186">
            <v>0</v>
          </cell>
          <cell r="CP186">
            <v>0</v>
          </cell>
          <cell r="CS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L186">
            <v>0</v>
          </cell>
          <cell r="DM186">
            <v>0</v>
          </cell>
          <cell r="DO186">
            <v>0</v>
          </cell>
          <cell r="DQ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4</v>
          </cell>
          <cell r="R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3</v>
          </cell>
          <cell r="AU187">
            <v>0</v>
          </cell>
          <cell r="AV187">
            <v>0</v>
          </cell>
          <cell r="AW187">
            <v>4</v>
          </cell>
          <cell r="AX187">
            <v>0</v>
          </cell>
          <cell r="AY187">
            <v>0</v>
          </cell>
          <cell r="BA187">
            <v>0</v>
          </cell>
          <cell r="BB187">
            <v>0</v>
          </cell>
          <cell r="BH187">
            <v>0</v>
          </cell>
          <cell r="BI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U187">
            <v>0</v>
          </cell>
          <cell r="BV187">
            <v>0</v>
          </cell>
          <cell r="BW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N187">
            <v>0</v>
          </cell>
          <cell r="CO187">
            <v>0</v>
          </cell>
          <cell r="CP187">
            <v>0</v>
          </cell>
          <cell r="CS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L187">
            <v>0</v>
          </cell>
          <cell r="DM187">
            <v>0</v>
          </cell>
          <cell r="DO187">
            <v>0</v>
          </cell>
          <cell r="DQ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6</v>
          </cell>
          <cell r="H188">
            <v>0</v>
          </cell>
          <cell r="I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R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6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BA188">
            <v>0</v>
          </cell>
          <cell r="BB188">
            <v>0</v>
          </cell>
          <cell r="BH188">
            <v>0</v>
          </cell>
          <cell r="BI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U188">
            <v>0</v>
          </cell>
          <cell r="BV188">
            <v>0</v>
          </cell>
          <cell r="BW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N188">
            <v>0</v>
          </cell>
          <cell r="CO188">
            <v>0</v>
          </cell>
          <cell r="CP188">
            <v>0</v>
          </cell>
          <cell r="CS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L188">
            <v>0</v>
          </cell>
          <cell r="DM188">
            <v>0</v>
          </cell>
          <cell r="DO188">
            <v>0</v>
          </cell>
          <cell r="DQ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R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BA189">
            <v>0</v>
          </cell>
          <cell r="BB189">
            <v>0</v>
          </cell>
          <cell r="BH189">
            <v>0</v>
          </cell>
          <cell r="BI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U189">
            <v>0</v>
          </cell>
          <cell r="BV189">
            <v>0</v>
          </cell>
          <cell r="BW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1</v>
          </cell>
          <cell r="CD189">
            <v>0</v>
          </cell>
          <cell r="CE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N189">
            <v>0</v>
          </cell>
          <cell r="CO189">
            <v>0</v>
          </cell>
          <cell r="CP189">
            <v>0</v>
          </cell>
          <cell r="CS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L189">
            <v>0</v>
          </cell>
          <cell r="DM189">
            <v>0</v>
          </cell>
          <cell r="DO189">
            <v>0</v>
          </cell>
          <cell r="DQ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</row>
        <row r="190">
          <cell r="D190">
            <v>20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R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1</v>
          </cell>
          <cell r="Z190">
            <v>0</v>
          </cell>
          <cell r="AA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BA190">
            <v>0</v>
          </cell>
          <cell r="BB190">
            <v>0</v>
          </cell>
          <cell r="BH190">
            <v>0</v>
          </cell>
          <cell r="BI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U190">
            <v>0</v>
          </cell>
          <cell r="BV190">
            <v>0</v>
          </cell>
          <cell r="BW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N190">
            <v>0</v>
          </cell>
          <cell r="CO190">
            <v>0</v>
          </cell>
          <cell r="CP190">
            <v>0</v>
          </cell>
          <cell r="CS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L190">
            <v>0</v>
          </cell>
          <cell r="DM190">
            <v>0</v>
          </cell>
          <cell r="DO190">
            <v>0</v>
          </cell>
          <cell r="DQ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R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BA191">
            <v>0</v>
          </cell>
          <cell r="BB191">
            <v>0</v>
          </cell>
          <cell r="BH191">
            <v>0</v>
          </cell>
          <cell r="BI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U191">
            <v>0</v>
          </cell>
          <cell r="BV191">
            <v>0</v>
          </cell>
          <cell r="BW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N191">
            <v>0</v>
          </cell>
          <cell r="CO191">
            <v>0</v>
          </cell>
          <cell r="CP191">
            <v>0</v>
          </cell>
          <cell r="CS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L191">
            <v>0</v>
          </cell>
          <cell r="DM191">
            <v>0</v>
          </cell>
          <cell r="DO191">
            <v>0</v>
          </cell>
          <cell r="DQ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1</v>
          </cell>
          <cell r="EA191">
            <v>0</v>
          </cell>
          <cell r="EB191">
            <v>0</v>
          </cell>
          <cell r="EC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R192">
            <v>0</v>
          </cell>
          <cell r="V192">
            <v>0</v>
          </cell>
          <cell r="W192">
            <v>1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BA192">
            <v>0</v>
          </cell>
          <cell r="BB192">
            <v>0</v>
          </cell>
          <cell r="BH192">
            <v>0</v>
          </cell>
          <cell r="BI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U192">
            <v>0</v>
          </cell>
          <cell r="BV192">
            <v>0</v>
          </cell>
          <cell r="BW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N192">
            <v>0</v>
          </cell>
          <cell r="CO192">
            <v>0</v>
          </cell>
          <cell r="CP192">
            <v>0</v>
          </cell>
          <cell r="CS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1</v>
          </cell>
          <cell r="DF192">
            <v>0</v>
          </cell>
          <cell r="DG192">
            <v>0</v>
          </cell>
          <cell r="DH192">
            <v>0</v>
          </cell>
          <cell r="DL192">
            <v>0</v>
          </cell>
          <cell r="DM192">
            <v>0</v>
          </cell>
          <cell r="DO192">
            <v>0</v>
          </cell>
          <cell r="DQ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R193">
            <v>0</v>
          </cell>
          <cell r="V193">
            <v>0</v>
          </cell>
          <cell r="W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BA193">
            <v>0</v>
          </cell>
          <cell r="BB193">
            <v>0</v>
          </cell>
          <cell r="BH193">
            <v>0</v>
          </cell>
          <cell r="BI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U193">
            <v>0</v>
          </cell>
          <cell r="BV193">
            <v>0</v>
          </cell>
          <cell r="BW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N193">
            <v>0</v>
          </cell>
          <cell r="CO193">
            <v>0</v>
          </cell>
          <cell r="CP193">
            <v>0</v>
          </cell>
          <cell r="CS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B193">
            <v>0</v>
          </cell>
          <cell r="DC193">
            <v>1</v>
          </cell>
          <cell r="DD193">
            <v>0</v>
          </cell>
          <cell r="DE193">
            <v>1</v>
          </cell>
          <cell r="DF193">
            <v>0</v>
          </cell>
          <cell r="DG193">
            <v>0</v>
          </cell>
          <cell r="DH193">
            <v>0</v>
          </cell>
          <cell r="DL193">
            <v>0</v>
          </cell>
          <cell r="DM193">
            <v>0</v>
          </cell>
          <cell r="DO193">
            <v>0</v>
          </cell>
          <cell r="DQ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R194">
            <v>0</v>
          </cell>
          <cell r="V194">
            <v>0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BA194">
            <v>0</v>
          </cell>
          <cell r="BB194">
            <v>0</v>
          </cell>
          <cell r="BH194">
            <v>0</v>
          </cell>
          <cell r="BI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U194">
            <v>0</v>
          </cell>
          <cell r="BV194">
            <v>0</v>
          </cell>
          <cell r="BW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N194">
            <v>0</v>
          </cell>
          <cell r="CO194">
            <v>0</v>
          </cell>
          <cell r="CP194">
            <v>0</v>
          </cell>
          <cell r="CS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1</v>
          </cell>
          <cell r="DF194">
            <v>0</v>
          </cell>
          <cell r="DG194">
            <v>0</v>
          </cell>
          <cell r="DH194">
            <v>0</v>
          </cell>
          <cell r="DL194">
            <v>0</v>
          </cell>
          <cell r="DM194">
            <v>0</v>
          </cell>
          <cell r="DO194">
            <v>0</v>
          </cell>
          <cell r="DQ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R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BA195">
            <v>0</v>
          </cell>
          <cell r="BB195">
            <v>0</v>
          </cell>
          <cell r="BH195">
            <v>0</v>
          </cell>
          <cell r="BI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U195">
            <v>0</v>
          </cell>
          <cell r="BV195">
            <v>0</v>
          </cell>
          <cell r="BW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N195">
            <v>0</v>
          </cell>
          <cell r="CO195">
            <v>0</v>
          </cell>
          <cell r="CP195">
            <v>0</v>
          </cell>
          <cell r="CS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L195">
            <v>0</v>
          </cell>
          <cell r="DM195">
            <v>0</v>
          </cell>
          <cell r="DO195">
            <v>0</v>
          </cell>
          <cell r="DQ195">
            <v>0</v>
          </cell>
          <cell r="DW195">
            <v>1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R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1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BA196">
            <v>0</v>
          </cell>
          <cell r="BB196">
            <v>0</v>
          </cell>
          <cell r="BH196">
            <v>0</v>
          </cell>
          <cell r="BI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1</v>
          </cell>
          <cell r="BU196">
            <v>1</v>
          </cell>
          <cell r="BV196">
            <v>0</v>
          </cell>
          <cell r="BW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1</v>
          </cell>
          <cell r="CE196">
            <v>0</v>
          </cell>
          <cell r="CH196">
            <v>1</v>
          </cell>
          <cell r="CI196">
            <v>0</v>
          </cell>
          <cell r="CJ196">
            <v>0</v>
          </cell>
          <cell r="CK196">
            <v>0</v>
          </cell>
          <cell r="CN196">
            <v>0</v>
          </cell>
          <cell r="CO196">
            <v>1</v>
          </cell>
          <cell r="CP196">
            <v>1</v>
          </cell>
          <cell r="CS196">
            <v>1</v>
          </cell>
          <cell r="CU196">
            <v>0</v>
          </cell>
          <cell r="CV196">
            <v>4</v>
          </cell>
          <cell r="CW196">
            <v>1</v>
          </cell>
          <cell r="CX196">
            <v>0</v>
          </cell>
          <cell r="CY196">
            <v>1</v>
          </cell>
          <cell r="CZ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L196">
            <v>1</v>
          </cell>
          <cell r="DM196">
            <v>1</v>
          </cell>
          <cell r="DO196">
            <v>0</v>
          </cell>
          <cell r="DQ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5</v>
          </cell>
          <cell r="EA196">
            <v>0</v>
          </cell>
          <cell r="EB196">
            <v>3</v>
          </cell>
          <cell r="EC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R197">
            <v>0</v>
          </cell>
          <cell r="V197">
            <v>0</v>
          </cell>
          <cell r="W197">
            <v>1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BA197">
            <v>0</v>
          </cell>
          <cell r="BB197">
            <v>0</v>
          </cell>
          <cell r="BH197">
            <v>0</v>
          </cell>
          <cell r="BI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U197">
            <v>0</v>
          </cell>
          <cell r="BV197">
            <v>0</v>
          </cell>
          <cell r="BW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H197">
            <v>0</v>
          </cell>
          <cell r="CI197">
            <v>1</v>
          </cell>
          <cell r="CJ197">
            <v>1</v>
          </cell>
          <cell r="CK197">
            <v>1</v>
          </cell>
          <cell r="CN197">
            <v>1</v>
          </cell>
          <cell r="CO197">
            <v>0</v>
          </cell>
          <cell r="CP197">
            <v>0</v>
          </cell>
          <cell r="CS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L197">
            <v>0</v>
          </cell>
          <cell r="DM197">
            <v>0</v>
          </cell>
          <cell r="DO197">
            <v>0</v>
          </cell>
          <cell r="DQ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R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BA198">
            <v>0</v>
          </cell>
          <cell r="BB198">
            <v>0</v>
          </cell>
          <cell r="BH198">
            <v>0</v>
          </cell>
          <cell r="BI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U198">
            <v>0</v>
          </cell>
          <cell r="BV198">
            <v>0</v>
          </cell>
          <cell r="BW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N198">
            <v>0</v>
          </cell>
          <cell r="CO198">
            <v>0</v>
          </cell>
          <cell r="CP198">
            <v>0</v>
          </cell>
          <cell r="CS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L198">
            <v>0</v>
          </cell>
          <cell r="DM198">
            <v>0</v>
          </cell>
          <cell r="DO198">
            <v>0</v>
          </cell>
          <cell r="DQ198">
            <v>0</v>
          </cell>
          <cell r="DW198">
            <v>0</v>
          </cell>
          <cell r="DX198">
            <v>1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R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BA199">
            <v>0</v>
          </cell>
          <cell r="BB199">
            <v>0</v>
          </cell>
          <cell r="BH199">
            <v>0</v>
          </cell>
          <cell r="BI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U199">
            <v>0</v>
          </cell>
          <cell r="BV199">
            <v>0</v>
          </cell>
          <cell r="BW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N199">
            <v>0</v>
          </cell>
          <cell r="CO199">
            <v>0</v>
          </cell>
          <cell r="CP199">
            <v>0</v>
          </cell>
          <cell r="CS199">
            <v>1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L199">
            <v>0</v>
          </cell>
          <cell r="DM199">
            <v>0</v>
          </cell>
          <cell r="DO199">
            <v>0</v>
          </cell>
          <cell r="DQ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6</v>
          </cell>
          <cell r="I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R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BA200">
            <v>0</v>
          </cell>
          <cell r="BB200">
            <v>0</v>
          </cell>
          <cell r="BH200">
            <v>0</v>
          </cell>
          <cell r="BI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U200">
            <v>0</v>
          </cell>
          <cell r="BV200">
            <v>0</v>
          </cell>
          <cell r="BW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N200">
            <v>0</v>
          </cell>
          <cell r="CO200">
            <v>0</v>
          </cell>
          <cell r="CP200">
            <v>0</v>
          </cell>
          <cell r="CS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L200">
            <v>0</v>
          </cell>
          <cell r="DM200">
            <v>0</v>
          </cell>
          <cell r="DO200">
            <v>0</v>
          </cell>
          <cell r="DQ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R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BA201">
            <v>0</v>
          </cell>
          <cell r="BB201">
            <v>0</v>
          </cell>
          <cell r="BH201">
            <v>0</v>
          </cell>
          <cell r="BI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U201">
            <v>0</v>
          </cell>
          <cell r="BV201">
            <v>0</v>
          </cell>
          <cell r="BW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N201">
            <v>0</v>
          </cell>
          <cell r="CO201">
            <v>0</v>
          </cell>
          <cell r="CP201">
            <v>0</v>
          </cell>
          <cell r="CS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L201">
            <v>0</v>
          </cell>
          <cell r="DM201">
            <v>0</v>
          </cell>
          <cell r="DO201">
            <v>0</v>
          </cell>
          <cell r="DQ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12</v>
          </cell>
          <cell r="EA201">
            <v>0</v>
          </cell>
          <cell r="EB201">
            <v>0</v>
          </cell>
          <cell r="EC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R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BA202">
            <v>0</v>
          </cell>
          <cell r="BB202">
            <v>0</v>
          </cell>
          <cell r="BH202">
            <v>0</v>
          </cell>
          <cell r="BI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U202">
            <v>0</v>
          </cell>
          <cell r="BV202">
            <v>0</v>
          </cell>
          <cell r="BW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N202">
            <v>0</v>
          </cell>
          <cell r="CO202">
            <v>0</v>
          </cell>
          <cell r="CP202">
            <v>0</v>
          </cell>
          <cell r="CS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L202">
            <v>0</v>
          </cell>
          <cell r="DM202">
            <v>0</v>
          </cell>
          <cell r="DO202">
            <v>0</v>
          </cell>
          <cell r="DQ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R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BA203">
            <v>0</v>
          </cell>
          <cell r="BB203">
            <v>0</v>
          </cell>
          <cell r="BH203">
            <v>0</v>
          </cell>
          <cell r="BI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U203">
            <v>0</v>
          </cell>
          <cell r="BV203">
            <v>0</v>
          </cell>
          <cell r="BW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N203">
            <v>0</v>
          </cell>
          <cell r="CO203">
            <v>0</v>
          </cell>
          <cell r="CP203">
            <v>0</v>
          </cell>
          <cell r="CS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L203">
            <v>0</v>
          </cell>
          <cell r="DM203">
            <v>0</v>
          </cell>
          <cell r="DO203">
            <v>0</v>
          </cell>
          <cell r="DQ203">
            <v>0</v>
          </cell>
          <cell r="DW203">
            <v>4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R204">
            <v>0</v>
          </cell>
          <cell r="V204">
            <v>0</v>
          </cell>
          <cell r="W204">
            <v>1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BA204">
            <v>0</v>
          </cell>
          <cell r="BB204">
            <v>0</v>
          </cell>
          <cell r="BH204">
            <v>0</v>
          </cell>
          <cell r="BI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U204">
            <v>0</v>
          </cell>
          <cell r="BV204">
            <v>0</v>
          </cell>
          <cell r="BW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N204">
            <v>0</v>
          </cell>
          <cell r="CO204">
            <v>0</v>
          </cell>
          <cell r="CP204">
            <v>0</v>
          </cell>
          <cell r="CS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L204">
            <v>0</v>
          </cell>
          <cell r="DM204">
            <v>0</v>
          </cell>
          <cell r="DO204">
            <v>0</v>
          </cell>
          <cell r="DQ204">
            <v>1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R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BA205">
            <v>0</v>
          </cell>
          <cell r="BB205">
            <v>0</v>
          </cell>
          <cell r="BH205">
            <v>0</v>
          </cell>
          <cell r="BI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U205">
            <v>0</v>
          </cell>
          <cell r="BV205">
            <v>0</v>
          </cell>
          <cell r="BW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N205">
            <v>0</v>
          </cell>
          <cell r="CO205">
            <v>0</v>
          </cell>
          <cell r="CP205">
            <v>0</v>
          </cell>
          <cell r="CS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L205">
            <v>0</v>
          </cell>
          <cell r="DM205">
            <v>0</v>
          </cell>
          <cell r="DO205">
            <v>0</v>
          </cell>
          <cell r="DQ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R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BA206">
            <v>0</v>
          </cell>
          <cell r="BB206">
            <v>0</v>
          </cell>
          <cell r="BH206">
            <v>0</v>
          </cell>
          <cell r="BI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U206">
            <v>0</v>
          </cell>
          <cell r="BV206">
            <v>0</v>
          </cell>
          <cell r="BW206">
            <v>0</v>
          </cell>
          <cell r="BZ206">
            <v>0</v>
          </cell>
          <cell r="CA206">
            <v>1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N206">
            <v>0</v>
          </cell>
          <cell r="CO206">
            <v>0</v>
          </cell>
          <cell r="CP206">
            <v>0</v>
          </cell>
          <cell r="CS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L206">
            <v>0</v>
          </cell>
          <cell r="DM206">
            <v>0</v>
          </cell>
          <cell r="DO206">
            <v>0</v>
          </cell>
          <cell r="DQ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R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BA207">
            <v>0</v>
          </cell>
          <cell r="BB207">
            <v>0</v>
          </cell>
          <cell r="BH207">
            <v>0</v>
          </cell>
          <cell r="BI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2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U207">
            <v>0</v>
          </cell>
          <cell r="BV207">
            <v>0</v>
          </cell>
          <cell r="BW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N207">
            <v>0</v>
          </cell>
          <cell r="CO207">
            <v>0</v>
          </cell>
          <cell r="CP207">
            <v>0</v>
          </cell>
          <cell r="CS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L207">
            <v>0</v>
          </cell>
          <cell r="DM207">
            <v>0</v>
          </cell>
          <cell r="DO207">
            <v>0</v>
          </cell>
          <cell r="DQ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R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BA208">
            <v>0</v>
          </cell>
          <cell r="BB208">
            <v>0</v>
          </cell>
          <cell r="BH208">
            <v>0</v>
          </cell>
          <cell r="BI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U208">
            <v>0</v>
          </cell>
          <cell r="BV208">
            <v>0</v>
          </cell>
          <cell r="BW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N208">
            <v>0</v>
          </cell>
          <cell r="CO208">
            <v>0</v>
          </cell>
          <cell r="CP208">
            <v>0</v>
          </cell>
          <cell r="CS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L208">
            <v>0</v>
          </cell>
          <cell r="DM208">
            <v>0</v>
          </cell>
          <cell r="DO208">
            <v>0</v>
          </cell>
          <cell r="DQ208">
            <v>0</v>
          </cell>
          <cell r="DW208">
            <v>39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R209">
            <v>0</v>
          </cell>
          <cell r="V209">
            <v>0</v>
          </cell>
          <cell r="W209">
            <v>1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BA209">
            <v>0</v>
          </cell>
          <cell r="BB209">
            <v>0</v>
          </cell>
          <cell r="BH209">
            <v>0</v>
          </cell>
          <cell r="BI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U209">
            <v>0</v>
          </cell>
          <cell r="BV209">
            <v>0</v>
          </cell>
          <cell r="BW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N209">
            <v>0</v>
          </cell>
          <cell r="CO209">
            <v>0</v>
          </cell>
          <cell r="CP209">
            <v>0</v>
          </cell>
          <cell r="CS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1</v>
          </cell>
          <cell r="DH209">
            <v>0</v>
          </cell>
          <cell r="DL209">
            <v>0</v>
          </cell>
          <cell r="DM209">
            <v>0</v>
          </cell>
          <cell r="DO209">
            <v>0</v>
          </cell>
          <cell r="DQ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R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BA210">
            <v>0</v>
          </cell>
          <cell r="BB210">
            <v>0</v>
          </cell>
          <cell r="BH210">
            <v>0</v>
          </cell>
          <cell r="BI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U210">
            <v>0</v>
          </cell>
          <cell r="BV210">
            <v>0</v>
          </cell>
          <cell r="BW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N210">
            <v>0</v>
          </cell>
          <cell r="CO210">
            <v>0</v>
          </cell>
          <cell r="CP210">
            <v>0</v>
          </cell>
          <cell r="CS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L210">
            <v>0</v>
          </cell>
          <cell r="DM210">
            <v>0</v>
          </cell>
          <cell r="DO210">
            <v>0</v>
          </cell>
          <cell r="DQ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R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BA211">
            <v>0</v>
          </cell>
          <cell r="BB211">
            <v>0</v>
          </cell>
          <cell r="BH211">
            <v>0</v>
          </cell>
          <cell r="BI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U211">
            <v>0</v>
          </cell>
          <cell r="BV211">
            <v>0</v>
          </cell>
          <cell r="BW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N211">
            <v>0</v>
          </cell>
          <cell r="CO211">
            <v>0</v>
          </cell>
          <cell r="CP211">
            <v>0</v>
          </cell>
          <cell r="CS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L211">
            <v>0</v>
          </cell>
          <cell r="DM211">
            <v>0</v>
          </cell>
          <cell r="DO211">
            <v>0</v>
          </cell>
          <cell r="DQ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R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BA212">
            <v>0</v>
          </cell>
          <cell r="BB212">
            <v>0</v>
          </cell>
          <cell r="BH212">
            <v>0</v>
          </cell>
          <cell r="BI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U212">
            <v>0</v>
          </cell>
          <cell r="BV212">
            <v>0</v>
          </cell>
          <cell r="BW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N212">
            <v>0</v>
          </cell>
          <cell r="CO212">
            <v>0</v>
          </cell>
          <cell r="CP212">
            <v>0</v>
          </cell>
          <cell r="CS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L212">
            <v>0</v>
          </cell>
          <cell r="DM212">
            <v>0</v>
          </cell>
          <cell r="DO212">
            <v>0</v>
          </cell>
          <cell r="DQ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R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BA213">
            <v>0</v>
          </cell>
          <cell r="BB213">
            <v>0</v>
          </cell>
          <cell r="BH213">
            <v>0</v>
          </cell>
          <cell r="BI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U213">
            <v>0</v>
          </cell>
          <cell r="BV213">
            <v>0</v>
          </cell>
          <cell r="BW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N213">
            <v>0</v>
          </cell>
          <cell r="CO213">
            <v>0</v>
          </cell>
          <cell r="CP213">
            <v>0</v>
          </cell>
          <cell r="CS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L213">
            <v>0</v>
          </cell>
          <cell r="DM213">
            <v>0</v>
          </cell>
          <cell r="DO213">
            <v>0</v>
          </cell>
          <cell r="DQ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R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BA214">
            <v>0</v>
          </cell>
          <cell r="BB214">
            <v>0</v>
          </cell>
          <cell r="BH214">
            <v>0</v>
          </cell>
          <cell r="BI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U214">
            <v>0</v>
          </cell>
          <cell r="BV214">
            <v>0</v>
          </cell>
          <cell r="BW214">
            <v>1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1</v>
          </cell>
          <cell r="CE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N214">
            <v>0</v>
          </cell>
          <cell r="CO214">
            <v>0</v>
          </cell>
          <cell r="CP214">
            <v>0</v>
          </cell>
          <cell r="CS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L214">
            <v>0</v>
          </cell>
          <cell r="DM214">
            <v>0</v>
          </cell>
          <cell r="DO214">
            <v>0</v>
          </cell>
          <cell r="DQ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R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BA215">
            <v>0</v>
          </cell>
          <cell r="BB215">
            <v>0</v>
          </cell>
          <cell r="BH215">
            <v>0</v>
          </cell>
          <cell r="BI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14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U215">
            <v>0</v>
          </cell>
          <cell r="BV215">
            <v>0</v>
          </cell>
          <cell r="BW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1</v>
          </cell>
          <cell r="CD215">
            <v>0</v>
          </cell>
          <cell r="CE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N215">
            <v>0</v>
          </cell>
          <cell r="CO215">
            <v>0</v>
          </cell>
          <cell r="CP215">
            <v>0</v>
          </cell>
          <cell r="CS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L215">
            <v>0</v>
          </cell>
          <cell r="DM215">
            <v>0</v>
          </cell>
          <cell r="DO215">
            <v>0</v>
          </cell>
          <cell r="DQ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R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BA216">
            <v>0</v>
          </cell>
          <cell r="BB216">
            <v>0</v>
          </cell>
          <cell r="BH216">
            <v>0</v>
          </cell>
          <cell r="BI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U216">
            <v>0</v>
          </cell>
          <cell r="BV216">
            <v>0</v>
          </cell>
          <cell r="BW216">
            <v>0</v>
          </cell>
          <cell r="BZ216">
            <v>0</v>
          </cell>
          <cell r="CA216">
            <v>2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N216">
            <v>0</v>
          </cell>
          <cell r="CO216">
            <v>0</v>
          </cell>
          <cell r="CP216">
            <v>0</v>
          </cell>
          <cell r="CS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L216">
            <v>0</v>
          </cell>
          <cell r="DM216">
            <v>0</v>
          </cell>
          <cell r="DO216">
            <v>0</v>
          </cell>
          <cell r="DQ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R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BA217">
            <v>0</v>
          </cell>
          <cell r="BB217">
            <v>0</v>
          </cell>
          <cell r="BH217">
            <v>0</v>
          </cell>
          <cell r="BI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U217">
            <v>0</v>
          </cell>
          <cell r="BV217">
            <v>0</v>
          </cell>
          <cell r="BW217">
            <v>0</v>
          </cell>
          <cell r="BZ217">
            <v>0</v>
          </cell>
          <cell r="CA217">
            <v>1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N217">
            <v>0</v>
          </cell>
          <cell r="CO217">
            <v>0</v>
          </cell>
          <cell r="CP217">
            <v>0</v>
          </cell>
          <cell r="CS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L217">
            <v>0</v>
          </cell>
          <cell r="DM217">
            <v>0</v>
          </cell>
          <cell r="DO217">
            <v>0</v>
          </cell>
          <cell r="DQ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R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BA218">
            <v>0</v>
          </cell>
          <cell r="BB218">
            <v>0</v>
          </cell>
          <cell r="BH218">
            <v>0</v>
          </cell>
          <cell r="BI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U218">
            <v>0</v>
          </cell>
          <cell r="BV218">
            <v>0</v>
          </cell>
          <cell r="BW218">
            <v>0</v>
          </cell>
          <cell r="BZ218">
            <v>0</v>
          </cell>
          <cell r="CA218">
            <v>10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N218">
            <v>0</v>
          </cell>
          <cell r="CO218">
            <v>0</v>
          </cell>
          <cell r="CP218">
            <v>0</v>
          </cell>
          <cell r="CS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L218">
            <v>0</v>
          </cell>
          <cell r="DM218">
            <v>0</v>
          </cell>
          <cell r="DO218">
            <v>0</v>
          </cell>
          <cell r="DQ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R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E219">
            <v>1</v>
          </cell>
          <cell r="AF219">
            <v>1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BA219">
            <v>0</v>
          </cell>
          <cell r="BB219">
            <v>0</v>
          </cell>
          <cell r="BH219">
            <v>0</v>
          </cell>
          <cell r="BI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U219">
            <v>0</v>
          </cell>
          <cell r="BV219">
            <v>0</v>
          </cell>
          <cell r="BW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N219">
            <v>0</v>
          </cell>
          <cell r="CO219">
            <v>0</v>
          </cell>
          <cell r="CP219">
            <v>0</v>
          </cell>
          <cell r="CS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L219">
            <v>0</v>
          </cell>
          <cell r="DM219">
            <v>0</v>
          </cell>
          <cell r="DO219">
            <v>0</v>
          </cell>
          <cell r="DQ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R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6</v>
          </cell>
          <cell r="AY220">
            <v>0</v>
          </cell>
          <cell r="BA220">
            <v>0</v>
          </cell>
          <cell r="BB220">
            <v>0</v>
          </cell>
          <cell r="BH220">
            <v>0</v>
          </cell>
          <cell r="BI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U220">
            <v>0</v>
          </cell>
          <cell r="BV220">
            <v>0</v>
          </cell>
          <cell r="BW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N220">
            <v>0</v>
          </cell>
          <cell r="CO220">
            <v>0</v>
          </cell>
          <cell r="CP220">
            <v>0</v>
          </cell>
          <cell r="CS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L220">
            <v>0</v>
          </cell>
          <cell r="DM220">
            <v>0</v>
          </cell>
          <cell r="DO220">
            <v>0</v>
          </cell>
          <cell r="DQ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R221">
            <v>0</v>
          </cell>
          <cell r="V221">
            <v>0</v>
          </cell>
          <cell r="W221">
            <v>0</v>
          </cell>
          <cell r="X221">
            <v>1</v>
          </cell>
          <cell r="Y221">
            <v>0</v>
          </cell>
          <cell r="Z221">
            <v>0</v>
          </cell>
          <cell r="AA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BA221">
            <v>0</v>
          </cell>
          <cell r="BB221">
            <v>0</v>
          </cell>
          <cell r="BH221">
            <v>0</v>
          </cell>
          <cell r="BI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U221">
            <v>0</v>
          </cell>
          <cell r="BV221">
            <v>0</v>
          </cell>
          <cell r="BW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N221">
            <v>0</v>
          </cell>
          <cell r="CO221">
            <v>0</v>
          </cell>
          <cell r="CP221">
            <v>0</v>
          </cell>
          <cell r="CS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L221">
            <v>0</v>
          </cell>
          <cell r="DM221">
            <v>0</v>
          </cell>
          <cell r="DO221">
            <v>0</v>
          </cell>
          <cell r="DQ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R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BA222">
            <v>0</v>
          </cell>
          <cell r="BB222">
            <v>0</v>
          </cell>
          <cell r="BH222">
            <v>0</v>
          </cell>
          <cell r="BI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U222">
            <v>0</v>
          </cell>
          <cell r="BV222">
            <v>0</v>
          </cell>
          <cell r="BW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N222">
            <v>0</v>
          </cell>
          <cell r="CO222">
            <v>0</v>
          </cell>
          <cell r="CP222">
            <v>0</v>
          </cell>
          <cell r="CS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L222">
            <v>0</v>
          </cell>
          <cell r="DM222">
            <v>0</v>
          </cell>
          <cell r="DO222">
            <v>0</v>
          </cell>
          <cell r="DQ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</row>
        <row r="223">
          <cell r="D223">
            <v>2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M223">
            <v>2</v>
          </cell>
          <cell r="N223">
            <v>0</v>
          </cell>
          <cell r="R223">
            <v>0</v>
          </cell>
          <cell r="V223">
            <v>0</v>
          </cell>
          <cell r="W223">
            <v>0</v>
          </cell>
          <cell r="X223">
            <v>4</v>
          </cell>
          <cell r="Y223">
            <v>8</v>
          </cell>
          <cell r="Z223">
            <v>0</v>
          </cell>
          <cell r="AA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2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N223">
            <v>2</v>
          </cell>
          <cell r="AO223">
            <v>2</v>
          </cell>
          <cell r="AP223">
            <v>2</v>
          </cell>
          <cell r="AQ223">
            <v>0</v>
          </cell>
          <cell r="AR223">
            <v>0</v>
          </cell>
          <cell r="AS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</v>
          </cell>
          <cell r="BA223">
            <v>0</v>
          </cell>
          <cell r="BB223">
            <v>0</v>
          </cell>
          <cell r="BH223">
            <v>0</v>
          </cell>
          <cell r="BI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U223">
            <v>0</v>
          </cell>
          <cell r="BV223">
            <v>0</v>
          </cell>
          <cell r="BW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N223">
            <v>0</v>
          </cell>
          <cell r="CO223">
            <v>0</v>
          </cell>
          <cell r="CP223">
            <v>0</v>
          </cell>
          <cell r="CS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L223">
            <v>0</v>
          </cell>
          <cell r="DM223">
            <v>0</v>
          </cell>
          <cell r="DO223">
            <v>0</v>
          </cell>
          <cell r="DQ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R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1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1</v>
          </cell>
          <cell r="BA224">
            <v>0</v>
          </cell>
          <cell r="BB224">
            <v>0</v>
          </cell>
          <cell r="BH224">
            <v>0</v>
          </cell>
          <cell r="BI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U224">
            <v>0</v>
          </cell>
          <cell r="BV224">
            <v>0</v>
          </cell>
          <cell r="BW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N224">
            <v>0</v>
          </cell>
          <cell r="CO224">
            <v>0</v>
          </cell>
          <cell r="CP224">
            <v>0</v>
          </cell>
          <cell r="CS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L224">
            <v>0</v>
          </cell>
          <cell r="DM224">
            <v>0</v>
          </cell>
          <cell r="DO224">
            <v>0</v>
          </cell>
          <cell r="DQ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R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2</v>
          </cell>
          <cell r="Z225">
            <v>0</v>
          </cell>
          <cell r="AA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BA225">
            <v>0</v>
          </cell>
          <cell r="BB225">
            <v>0</v>
          </cell>
          <cell r="BH225">
            <v>0</v>
          </cell>
          <cell r="BI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U225">
            <v>0</v>
          </cell>
          <cell r="BV225">
            <v>0</v>
          </cell>
          <cell r="BW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N225">
            <v>0</v>
          </cell>
          <cell r="CO225">
            <v>0</v>
          </cell>
          <cell r="CP225">
            <v>0</v>
          </cell>
          <cell r="CS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L225">
            <v>0</v>
          </cell>
          <cell r="DM225">
            <v>0</v>
          </cell>
          <cell r="DO225">
            <v>0</v>
          </cell>
          <cell r="DQ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R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E226">
            <v>5</v>
          </cell>
          <cell r="AF226">
            <v>4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BA226">
            <v>0</v>
          </cell>
          <cell r="BB226">
            <v>0</v>
          </cell>
          <cell r="BH226">
            <v>0</v>
          </cell>
          <cell r="BI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U226">
            <v>0</v>
          </cell>
          <cell r="BV226">
            <v>0</v>
          </cell>
          <cell r="BW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N226">
            <v>0</v>
          </cell>
          <cell r="CO226">
            <v>0</v>
          </cell>
          <cell r="CP226">
            <v>0</v>
          </cell>
          <cell r="CS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L226">
            <v>0</v>
          </cell>
          <cell r="DM226">
            <v>0</v>
          </cell>
          <cell r="DO226">
            <v>0</v>
          </cell>
          <cell r="DQ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R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E227">
            <v>1</v>
          </cell>
          <cell r="AF227">
            <v>2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BA227">
            <v>0</v>
          </cell>
          <cell r="BB227">
            <v>0</v>
          </cell>
          <cell r="BH227">
            <v>0</v>
          </cell>
          <cell r="BI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U227">
            <v>0</v>
          </cell>
          <cell r="BV227">
            <v>0</v>
          </cell>
          <cell r="BW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N227">
            <v>0</v>
          </cell>
          <cell r="CO227">
            <v>0</v>
          </cell>
          <cell r="CP227">
            <v>0</v>
          </cell>
          <cell r="CS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L227">
            <v>0</v>
          </cell>
          <cell r="DM227">
            <v>0</v>
          </cell>
          <cell r="DO227">
            <v>0</v>
          </cell>
          <cell r="DQ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R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E228">
            <v>1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BA228">
            <v>0</v>
          </cell>
          <cell r="BB228">
            <v>0</v>
          </cell>
          <cell r="BH228">
            <v>0</v>
          </cell>
          <cell r="BI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U228">
            <v>0</v>
          </cell>
          <cell r="BV228">
            <v>0</v>
          </cell>
          <cell r="BW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N228">
            <v>0</v>
          </cell>
          <cell r="CO228">
            <v>0</v>
          </cell>
          <cell r="CP228">
            <v>0</v>
          </cell>
          <cell r="CS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L228">
            <v>0</v>
          </cell>
          <cell r="DM228">
            <v>0</v>
          </cell>
          <cell r="DO228">
            <v>0</v>
          </cell>
          <cell r="DQ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R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E229">
            <v>1</v>
          </cell>
          <cell r="AF229">
            <v>1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BA229">
            <v>0</v>
          </cell>
          <cell r="BB229">
            <v>0</v>
          </cell>
          <cell r="BH229">
            <v>0</v>
          </cell>
          <cell r="BI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U229">
            <v>0</v>
          </cell>
          <cell r="BV229">
            <v>0</v>
          </cell>
          <cell r="BW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N229">
            <v>0</v>
          </cell>
          <cell r="CO229">
            <v>0</v>
          </cell>
          <cell r="CP229">
            <v>0</v>
          </cell>
          <cell r="CS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L229">
            <v>0</v>
          </cell>
          <cell r="DM229">
            <v>0</v>
          </cell>
          <cell r="DO229">
            <v>0</v>
          </cell>
          <cell r="DQ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</row>
        <row r="230">
          <cell r="D230">
            <v>0</v>
          </cell>
          <cell r="E230">
            <v>1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R230">
            <v>0</v>
          </cell>
          <cell r="V230">
            <v>0</v>
          </cell>
          <cell r="W230">
            <v>0</v>
          </cell>
          <cell r="X230">
            <v>1</v>
          </cell>
          <cell r="Y230">
            <v>1</v>
          </cell>
          <cell r="Z230">
            <v>0</v>
          </cell>
          <cell r="AA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1</v>
          </cell>
          <cell r="AL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1</v>
          </cell>
          <cell r="BA230">
            <v>0</v>
          </cell>
          <cell r="BB230">
            <v>0</v>
          </cell>
          <cell r="BH230">
            <v>0</v>
          </cell>
          <cell r="BI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U230">
            <v>0</v>
          </cell>
          <cell r="BV230">
            <v>0</v>
          </cell>
          <cell r="BW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N230">
            <v>0</v>
          </cell>
          <cell r="CO230">
            <v>0</v>
          </cell>
          <cell r="CP230">
            <v>0</v>
          </cell>
          <cell r="CS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L230">
            <v>0</v>
          </cell>
          <cell r="DM230">
            <v>0</v>
          </cell>
          <cell r="DO230">
            <v>0</v>
          </cell>
          <cell r="DQ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R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E231">
            <v>0</v>
          </cell>
          <cell r="AF231">
            <v>1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BA231">
            <v>0</v>
          </cell>
          <cell r="BB231">
            <v>0</v>
          </cell>
          <cell r="BH231">
            <v>0</v>
          </cell>
          <cell r="BI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U231">
            <v>0</v>
          </cell>
          <cell r="BV231">
            <v>0</v>
          </cell>
          <cell r="BW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N231">
            <v>0</v>
          </cell>
          <cell r="CO231">
            <v>0</v>
          </cell>
          <cell r="CP231">
            <v>0</v>
          </cell>
          <cell r="CS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L231">
            <v>0</v>
          </cell>
          <cell r="DM231">
            <v>0</v>
          </cell>
          <cell r="DO231">
            <v>0</v>
          </cell>
          <cell r="DQ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R232">
            <v>0</v>
          </cell>
          <cell r="V232">
            <v>22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E232">
            <v>5</v>
          </cell>
          <cell r="AF232">
            <v>5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BA232">
            <v>0</v>
          </cell>
          <cell r="BB232">
            <v>0</v>
          </cell>
          <cell r="BH232">
            <v>0</v>
          </cell>
          <cell r="BI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U232">
            <v>0</v>
          </cell>
          <cell r="BV232">
            <v>0</v>
          </cell>
          <cell r="BW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N232">
            <v>0</v>
          </cell>
          <cell r="CO232">
            <v>0</v>
          </cell>
          <cell r="CP232">
            <v>0</v>
          </cell>
          <cell r="CS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L232">
            <v>0</v>
          </cell>
          <cell r="DM232">
            <v>0</v>
          </cell>
          <cell r="DO232">
            <v>0</v>
          </cell>
          <cell r="DQ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R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6</v>
          </cell>
          <cell r="AY233">
            <v>0</v>
          </cell>
          <cell r="BA233">
            <v>0</v>
          </cell>
          <cell r="BB233">
            <v>0</v>
          </cell>
          <cell r="BH233">
            <v>0</v>
          </cell>
          <cell r="BI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U233">
            <v>0</v>
          </cell>
          <cell r="BV233">
            <v>0</v>
          </cell>
          <cell r="BW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N233">
            <v>0</v>
          </cell>
          <cell r="CO233">
            <v>0</v>
          </cell>
          <cell r="CP233">
            <v>0</v>
          </cell>
          <cell r="CS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L233">
            <v>0</v>
          </cell>
          <cell r="DM233">
            <v>0</v>
          </cell>
          <cell r="DO233">
            <v>0</v>
          </cell>
          <cell r="DQ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</row>
        <row r="234">
          <cell r="D234">
            <v>3</v>
          </cell>
          <cell r="E234">
            <v>6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K234">
            <v>0</v>
          </cell>
          <cell r="L234">
            <v>0</v>
          </cell>
          <cell r="M234">
            <v>1</v>
          </cell>
          <cell r="N234">
            <v>0</v>
          </cell>
          <cell r="R234">
            <v>0</v>
          </cell>
          <cell r="V234">
            <v>0</v>
          </cell>
          <cell r="W234">
            <v>0</v>
          </cell>
          <cell r="X234">
            <v>15</v>
          </cell>
          <cell r="Y234">
            <v>30</v>
          </cell>
          <cell r="Z234">
            <v>0</v>
          </cell>
          <cell r="AA234">
            <v>0</v>
          </cell>
          <cell r="AE234">
            <v>0</v>
          </cell>
          <cell r="AF234">
            <v>0</v>
          </cell>
          <cell r="AG234">
            <v>12</v>
          </cell>
          <cell r="AH234">
            <v>2</v>
          </cell>
          <cell r="AI234">
            <v>12</v>
          </cell>
          <cell r="AJ234">
            <v>2</v>
          </cell>
          <cell r="AK234">
            <v>6</v>
          </cell>
          <cell r="AL234">
            <v>6</v>
          </cell>
          <cell r="AN234">
            <v>1</v>
          </cell>
          <cell r="AO234">
            <v>1</v>
          </cell>
          <cell r="AP234">
            <v>2</v>
          </cell>
          <cell r="AQ234">
            <v>0</v>
          </cell>
          <cell r="AR234">
            <v>0</v>
          </cell>
          <cell r="AS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5</v>
          </cell>
          <cell r="AY234">
            <v>8</v>
          </cell>
          <cell r="BA234">
            <v>0</v>
          </cell>
          <cell r="BB234">
            <v>0</v>
          </cell>
          <cell r="BH234">
            <v>0</v>
          </cell>
          <cell r="BI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U234">
            <v>0</v>
          </cell>
          <cell r="BV234">
            <v>0</v>
          </cell>
          <cell r="BW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N234">
            <v>0</v>
          </cell>
          <cell r="CO234">
            <v>0</v>
          </cell>
          <cell r="CP234">
            <v>0</v>
          </cell>
          <cell r="CS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L234">
            <v>0</v>
          </cell>
          <cell r="DM234">
            <v>0</v>
          </cell>
          <cell r="DO234">
            <v>0</v>
          </cell>
          <cell r="DQ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7</v>
          </cell>
          <cell r="R235">
            <v>0</v>
          </cell>
          <cell r="V235">
            <v>0</v>
          </cell>
          <cell r="W235">
            <v>1</v>
          </cell>
          <cell r="X235">
            <v>6</v>
          </cell>
          <cell r="Y235">
            <v>0</v>
          </cell>
          <cell r="Z235">
            <v>0</v>
          </cell>
          <cell r="AA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N235">
            <v>0</v>
          </cell>
          <cell r="AO235">
            <v>0</v>
          </cell>
          <cell r="AP235">
            <v>1</v>
          </cell>
          <cell r="AQ235">
            <v>0</v>
          </cell>
          <cell r="AR235">
            <v>0</v>
          </cell>
          <cell r="AS235">
            <v>0</v>
          </cell>
          <cell r="AU235">
            <v>0</v>
          </cell>
          <cell r="AV235">
            <v>0</v>
          </cell>
          <cell r="AW235">
            <v>10</v>
          </cell>
          <cell r="AX235">
            <v>10</v>
          </cell>
          <cell r="AY235">
            <v>3</v>
          </cell>
          <cell r="BA235">
            <v>0</v>
          </cell>
          <cell r="BB235">
            <v>0</v>
          </cell>
          <cell r="BH235">
            <v>0</v>
          </cell>
          <cell r="BI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U235">
            <v>0</v>
          </cell>
          <cell r="BV235">
            <v>0</v>
          </cell>
          <cell r="BW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N235">
            <v>0</v>
          </cell>
          <cell r="CO235">
            <v>0</v>
          </cell>
          <cell r="CP235">
            <v>0</v>
          </cell>
          <cell r="CS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1</v>
          </cell>
          <cell r="DL235">
            <v>0</v>
          </cell>
          <cell r="DM235">
            <v>0</v>
          </cell>
          <cell r="DO235">
            <v>0</v>
          </cell>
          <cell r="DQ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</row>
        <row r="236">
          <cell r="D236">
            <v>1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R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BA236">
            <v>0</v>
          </cell>
          <cell r="BB236">
            <v>0</v>
          </cell>
          <cell r="BH236">
            <v>0</v>
          </cell>
          <cell r="BI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U236">
            <v>0</v>
          </cell>
          <cell r="BV236">
            <v>0</v>
          </cell>
          <cell r="BW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N236">
            <v>0</v>
          </cell>
          <cell r="CO236">
            <v>0</v>
          </cell>
          <cell r="CP236">
            <v>0</v>
          </cell>
          <cell r="CS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L236">
            <v>0</v>
          </cell>
          <cell r="DM236">
            <v>0</v>
          </cell>
          <cell r="DO236">
            <v>0</v>
          </cell>
          <cell r="DQ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</row>
        <row r="237">
          <cell r="D237">
            <v>2</v>
          </cell>
          <cell r="E237">
            <v>0</v>
          </cell>
          <cell r="F237">
            <v>1</v>
          </cell>
          <cell r="G237">
            <v>0</v>
          </cell>
          <cell r="H237">
            <v>0</v>
          </cell>
          <cell r="I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R237">
            <v>0</v>
          </cell>
          <cell r="V237">
            <v>2</v>
          </cell>
          <cell r="W237">
            <v>0</v>
          </cell>
          <cell r="X237">
            <v>0</v>
          </cell>
          <cell r="Y237">
            <v>0</v>
          </cell>
          <cell r="Z237">
            <v>8</v>
          </cell>
          <cell r="AA237">
            <v>1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1</v>
          </cell>
          <cell r="AR237">
            <v>0</v>
          </cell>
          <cell r="AS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BA237">
            <v>0</v>
          </cell>
          <cell r="BB237">
            <v>0</v>
          </cell>
          <cell r="BH237">
            <v>0</v>
          </cell>
          <cell r="BI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U237">
            <v>0</v>
          </cell>
          <cell r="BV237">
            <v>0</v>
          </cell>
          <cell r="BW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N237">
            <v>0</v>
          </cell>
          <cell r="CO237">
            <v>0</v>
          </cell>
          <cell r="CP237">
            <v>0</v>
          </cell>
          <cell r="CS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L237">
            <v>0</v>
          </cell>
          <cell r="DM237">
            <v>0</v>
          </cell>
          <cell r="DO237">
            <v>0</v>
          </cell>
          <cell r="DQ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R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BA238">
            <v>0</v>
          </cell>
          <cell r="BB238">
            <v>0</v>
          </cell>
          <cell r="BH238">
            <v>0</v>
          </cell>
          <cell r="BI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U238">
            <v>0</v>
          </cell>
          <cell r="BV238">
            <v>0</v>
          </cell>
          <cell r="BW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N238">
            <v>0</v>
          </cell>
          <cell r="CO238">
            <v>0</v>
          </cell>
          <cell r="CP238">
            <v>0</v>
          </cell>
          <cell r="CS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L238">
            <v>0</v>
          </cell>
          <cell r="DM238">
            <v>0</v>
          </cell>
          <cell r="DO238">
            <v>0</v>
          </cell>
          <cell r="DQ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R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BA239">
            <v>0</v>
          </cell>
          <cell r="BB239">
            <v>0</v>
          </cell>
          <cell r="BH239">
            <v>0</v>
          </cell>
          <cell r="BI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U239">
            <v>0</v>
          </cell>
          <cell r="BV239">
            <v>0</v>
          </cell>
          <cell r="BW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N239">
            <v>0</v>
          </cell>
          <cell r="CO239">
            <v>0</v>
          </cell>
          <cell r="CP239">
            <v>0</v>
          </cell>
          <cell r="CS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L239">
            <v>0</v>
          </cell>
          <cell r="DM239">
            <v>0</v>
          </cell>
          <cell r="DO239">
            <v>0</v>
          </cell>
          <cell r="DQ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R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BA240">
            <v>0</v>
          </cell>
          <cell r="BB240">
            <v>0</v>
          </cell>
          <cell r="BH240">
            <v>0</v>
          </cell>
          <cell r="BI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U240">
            <v>0</v>
          </cell>
          <cell r="BV240">
            <v>0</v>
          </cell>
          <cell r="BW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N240">
            <v>0</v>
          </cell>
          <cell r="CO240">
            <v>0</v>
          </cell>
          <cell r="CP240">
            <v>0</v>
          </cell>
          <cell r="CS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B240">
            <v>0</v>
          </cell>
          <cell r="DC240">
            <v>6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L240">
            <v>0</v>
          </cell>
          <cell r="DM240">
            <v>0</v>
          </cell>
          <cell r="DO240">
            <v>0</v>
          </cell>
          <cell r="DQ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R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N241">
            <v>1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BA241">
            <v>0</v>
          </cell>
          <cell r="BB241">
            <v>0</v>
          </cell>
          <cell r="BH241">
            <v>0</v>
          </cell>
          <cell r="BI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U241">
            <v>0</v>
          </cell>
          <cell r="BV241">
            <v>0</v>
          </cell>
          <cell r="BW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N241">
            <v>0</v>
          </cell>
          <cell r="CO241">
            <v>0</v>
          </cell>
          <cell r="CP241">
            <v>0</v>
          </cell>
          <cell r="CS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L241">
            <v>0</v>
          </cell>
          <cell r="DM241">
            <v>0</v>
          </cell>
          <cell r="DO241">
            <v>0</v>
          </cell>
          <cell r="DQ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R242">
            <v>0</v>
          </cell>
          <cell r="V242">
            <v>0</v>
          </cell>
          <cell r="W242">
            <v>4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BA242">
            <v>0</v>
          </cell>
          <cell r="BB242">
            <v>0</v>
          </cell>
          <cell r="BH242">
            <v>0</v>
          </cell>
          <cell r="BI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U242">
            <v>0</v>
          </cell>
          <cell r="BV242">
            <v>0</v>
          </cell>
          <cell r="BW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N242">
            <v>0</v>
          </cell>
          <cell r="CO242">
            <v>0</v>
          </cell>
          <cell r="CP242">
            <v>0</v>
          </cell>
          <cell r="CS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4</v>
          </cell>
          <cell r="DG242">
            <v>0</v>
          </cell>
          <cell r="DH242">
            <v>0</v>
          </cell>
          <cell r="DL242">
            <v>0</v>
          </cell>
          <cell r="DM242">
            <v>0</v>
          </cell>
          <cell r="DO242">
            <v>0</v>
          </cell>
          <cell r="DQ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R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BA243">
            <v>0</v>
          </cell>
          <cell r="BB243">
            <v>0</v>
          </cell>
          <cell r="BH243">
            <v>0</v>
          </cell>
          <cell r="BI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U243">
            <v>0</v>
          </cell>
          <cell r="BV243">
            <v>0</v>
          </cell>
          <cell r="BW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N243">
            <v>0</v>
          </cell>
          <cell r="CO243">
            <v>0</v>
          </cell>
          <cell r="CP243">
            <v>0</v>
          </cell>
          <cell r="CS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L243">
            <v>0</v>
          </cell>
          <cell r="DM243">
            <v>0</v>
          </cell>
          <cell r="DO243">
            <v>0</v>
          </cell>
          <cell r="DQ243">
            <v>0</v>
          </cell>
          <cell r="DW243">
            <v>18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R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BA244">
            <v>0</v>
          </cell>
          <cell r="BB244">
            <v>0</v>
          </cell>
          <cell r="BH244">
            <v>0</v>
          </cell>
          <cell r="BI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U244">
            <v>0</v>
          </cell>
          <cell r="BV244">
            <v>0</v>
          </cell>
          <cell r="BW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N244">
            <v>0</v>
          </cell>
          <cell r="CO244">
            <v>0</v>
          </cell>
          <cell r="CP244">
            <v>0</v>
          </cell>
          <cell r="CS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L244">
            <v>0</v>
          </cell>
          <cell r="DM244">
            <v>0</v>
          </cell>
          <cell r="DO244">
            <v>0</v>
          </cell>
          <cell r="DQ244">
            <v>0</v>
          </cell>
          <cell r="DW244">
            <v>4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R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BA245">
            <v>0</v>
          </cell>
          <cell r="BB245">
            <v>0</v>
          </cell>
          <cell r="BH245">
            <v>0</v>
          </cell>
          <cell r="BI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U245">
            <v>0</v>
          </cell>
          <cell r="BV245">
            <v>0</v>
          </cell>
          <cell r="BW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N245">
            <v>0</v>
          </cell>
          <cell r="CO245">
            <v>0</v>
          </cell>
          <cell r="CP245">
            <v>0</v>
          </cell>
          <cell r="CS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L245">
            <v>0</v>
          </cell>
          <cell r="DM245">
            <v>0</v>
          </cell>
          <cell r="DO245">
            <v>0</v>
          </cell>
          <cell r="DQ245">
            <v>0</v>
          </cell>
          <cell r="DW245">
            <v>2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R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BA246">
            <v>0</v>
          </cell>
          <cell r="BB246">
            <v>0</v>
          </cell>
          <cell r="BH246">
            <v>0</v>
          </cell>
          <cell r="BI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U246">
            <v>0</v>
          </cell>
          <cell r="BV246">
            <v>0</v>
          </cell>
          <cell r="BW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N246">
            <v>0</v>
          </cell>
          <cell r="CO246">
            <v>0</v>
          </cell>
          <cell r="CP246">
            <v>0</v>
          </cell>
          <cell r="CS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L246">
            <v>0</v>
          </cell>
          <cell r="DM246">
            <v>0</v>
          </cell>
          <cell r="DO246">
            <v>0</v>
          </cell>
          <cell r="DQ246">
            <v>0</v>
          </cell>
          <cell r="DW246">
            <v>2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R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BA247">
            <v>0</v>
          </cell>
          <cell r="BB247">
            <v>0</v>
          </cell>
          <cell r="BH247">
            <v>0</v>
          </cell>
          <cell r="BI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U247">
            <v>0</v>
          </cell>
          <cell r="BV247">
            <v>0</v>
          </cell>
          <cell r="BW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N247">
            <v>0</v>
          </cell>
          <cell r="CO247">
            <v>0</v>
          </cell>
          <cell r="CP247">
            <v>0</v>
          </cell>
          <cell r="CS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L247">
            <v>0</v>
          </cell>
          <cell r="DM247">
            <v>0</v>
          </cell>
          <cell r="DO247">
            <v>0</v>
          </cell>
          <cell r="DQ247">
            <v>0</v>
          </cell>
          <cell r="DW247">
            <v>2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</row>
        <row r="248"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R248">
            <v>0</v>
          </cell>
          <cell r="V248">
            <v>0</v>
          </cell>
          <cell r="W248">
            <v>46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BA248">
            <v>0</v>
          </cell>
          <cell r="BB248">
            <v>0</v>
          </cell>
          <cell r="BH248">
            <v>0</v>
          </cell>
          <cell r="BI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U248">
            <v>0</v>
          </cell>
          <cell r="BV248">
            <v>0</v>
          </cell>
          <cell r="BW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N248">
            <v>0</v>
          </cell>
          <cell r="CO248">
            <v>0</v>
          </cell>
          <cell r="CP248">
            <v>0</v>
          </cell>
          <cell r="CS248">
            <v>0</v>
          </cell>
          <cell r="CU248">
            <v>4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2</v>
          </cell>
          <cell r="DF248">
            <v>14</v>
          </cell>
          <cell r="DG248">
            <v>16</v>
          </cell>
          <cell r="DH248">
            <v>8</v>
          </cell>
          <cell r="DL248">
            <v>0</v>
          </cell>
          <cell r="DM248">
            <v>0</v>
          </cell>
          <cell r="DO248">
            <v>0</v>
          </cell>
          <cell r="DQ248">
            <v>6</v>
          </cell>
          <cell r="DW248">
            <v>44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R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BA249">
            <v>0</v>
          </cell>
          <cell r="BB249">
            <v>0</v>
          </cell>
          <cell r="BH249">
            <v>0</v>
          </cell>
          <cell r="BI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U249">
            <v>0</v>
          </cell>
          <cell r="BV249">
            <v>0</v>
          </cell>
          <cell r="BW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N249">
            <v>0</v>
          </cell>
          <cell r="CO249">
            <v>0</v>
          </cell>
          <cell r="CP249">
            <v>0</v>
          </cell>
          <cell r="CS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L249">
            <v>0</v>
          </cell>
          <cell r="DM249">
            <v>0</v>
          </cell>
          <cell r="DO249">
            <v>0</v>
          </cell>
          <cell r="DQ249">
            <v>0</v>
          </cell>
          <cell r="DW249">
            <v>2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R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BA250">
            <v>0</v>
          </cell>
          <cell r="BB250">
            <v>0</v>
          </cell>
          <cell r="BH250">
            <v>0</v>
          </cell>
          <cell r="BI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U250">
            <v>0</v>
          </cell>
          <cell r="BV250">
            <v>0</v>
          </cell>
          <cell r="BW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N250">
            <v>0</v>
          </cell>
          <cell r="CO250">
            <v>0</v>
          </cell>
          <cell r="CP250">
            <v>0</v>
          </cell>
          <cell r="CS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L250">
            <v>0</v>
          </cell>
          <cell r="DM250">
            <v>0</v>
          </cell>
          <cell r="DO250">
            <v>0</v>
          </cell>
          <cell r="DQ250">
            <v>0</v>
          </cell>
          <cell r="DW250">
            <v>2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R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BA251">
            <v>0</v>
          </cell>
          <cell r="BB251">
            <v>0</v>
          </cell>
          <cell r="BH251">
            <v>0</v>
          </cell>
          <cell r="BI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U251">
            <v>0</v>
          </cell>
          <cell r="BV251">
            <v>0</v>
          </cell>
          <cell r="BW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N251">
            <v>0</v>
          </cell>
          <cell r="CO251">
            <v>0</v>
          </cell>
          <cell r="CP251">
            <v>0</v>
          </cell>
          <cell r="CS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L251">
            <v>0</v>
          </cell>
          <cell r="DM251">
            <v>0</v>
          </cell>
          <cell r="DO251">
            <v>0</v>
          </cell>
          <cell r="DQ251">
            <v>0</v>
          </cell>
          <cell r="DW251">
            <v>2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R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BA252">
            <v>0</v>
          </cell>
          <cell r="BB252">
            <v>0</v>
          </cell>
          <cell r="BH252">
            <v>0</v>
          </cell>
          <cell r="BI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U252">
            <v>0</v>
          </cell>
          <cell r="BV252">
            <v>0</v>
          </cell>
          <cell r="BW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N252">
            <v>0</v>
          </cell>
          <cell r="CO252">
            <v>0</v>
          </cell>
          <cell r="CP252">
            <v>0</v>
          </cell>
          <cell r="CS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L252">
            <v>0</v>
          </cell>
          <cell r="DM252">
            <v>0</v>
          </cell>
          <cell r="DO252">
            <v>0</v>
          </cell>
          <cell r="DQ252">
            <v>0</v>
          </cell>
          <cell r="DW252">
            <v>4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R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BA253">
            <v>0</v>
          </cell>
          <cell r="BB253">
            <v>0</v>
          </cell>
          <cell r="BH253">
            <v>0</v>
          </cell>
          <cell r="BI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U253">
            <v>0</v>
          </cell>
          <cell r="BV253">
            <v>0</v>
          </cell>
          <cell r="BW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N253">
            <v>0</v>
          </cell>
          <cell r="CO253">
            <v>0</v>
          </cell>
          <cell r="CP253">
            <v>0</v>
          </cell>
          <cell r="CS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L253">
            <v>0</v>
          </cell>
          <cell r="DM253">
            <v>0</v>
          </cell>
          <cell r="DO253">
            <v>0</v>
          </cell>
          <cell r="DQ253">
            <v>0</v>
          </cell>
          <cell r="DW253">
            <v>2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R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BA254">
            <v>0</v>
          </cell>
          <cell r="BB254">
            <v>0</v>
          </cell>
          <cell r="BH254">
            <v>0</v>
          </cell>
          <cell r="BI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U254">
            <v>0</v>
          </cell>
          <cell r="BV254">
            <v>0</v>
          </cell>
          <cell r="BW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N254">
            <v>0</v>
          </cell>
          <cell r="CO254">
            <v>0</v>
          </cell>
          <cell r="CP254">
            <v>0</v>
          </cell>
          <cell r="CS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L254">
            <v>0</v>
          </cell>
          <cell r="DM254">
            <v>0</v>
          </cell>
          <cell r="DO254">
            <v>0</v>
          </cell>
          <cell r="DQ254">
            <v>0</v>
          </cell>
          <cell r="DW254">
            <v>2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R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BA255">
            <v>0</v>
          </cell>
          <cell r="BB255">
            <v>0</v>
          </cell>
          <cell r="BH255">
            <v>0</v>
          </cell>
          <cell r="BI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U255">
            <v>0</v>
          </cell>
          <cell r="BV255">
            <v>0</v>
          </cell>
          <cell r="BW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N255">
            <v>0</v>
          </cell>
          <cell r="CO255">
            <v>0</v>
          </cell>
          <cell r="CP255">
            <v>0</v>
          </cell>
          <cell r="CS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L255">
            <v>0</v>
          </cell>
          <cell r="DM255">
            <v>0</v>
          </cell>
          <cell r="DO255">
            <v>0</v>
          </cell>
          <cell r="DQ255">
            <v>0</v>
          </cell>
          <cell r="DW255">
            <v>2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R256">
            <v>0</v>
          </cell>
          <cell r="V256">
            <v>0</v>
          </cell>
          <cell r="W256">
            <v>2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BA256">
            <v>0</v>
          </cell>
          <cell r="BB256">
            <v>0</v>
          </cell>
          <cell r="BH256">
            <v>0</v>
          </cell>
          <cell r="BI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U256">
            <v>0</v>
          </cell>
          <cell r="BV256">
            <v>0</v>
          </cell>
          <cell r="BW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N256">
            <v>0</v>
          </cell>
          <cell r="CO256">
            <v>0</v>
          </cell>
          <cell r="CP256">
            <v>0</v>
          </cell>
          <cell r="CS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2</v>
          </cell>
          <cell r="DH256">
            <v>0</v>
          </cell>
          <cell r="DL256">
            <v>0</v>
          </cell>
          <cell r="DM256">
            <v>0</v>
          </cell>
          <cell r="DO256">
            <v>0</v>
          </cell>
          <cell r="DQ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R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BA257">
            <v>0</v>
          </cell>
          <cell r="BB257">
            <v>0</v>
          </cell>
          <cell r="BH257">
            <v>0</v>
          </cell>
          <cell r="BI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U257">
            <v>0</v>
          </cell>
          <cell r="BV257">
            <v>0</v>
          </cell>
          <cell r="BW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H257">
            <v>31</v>
          </cell>
          <cell r="CI257">
            <v>0</v>
          </cell>
          <cell r="CJ257">
            <v>0</v>
          </cell>
          <cell r="CK257">
            <v>0</v>
          </cell>
          <cell r="CN257">
            <v>0</v>
          </cell>
          <cell r="CO257">
            <v>0</v>
          </cell>
          <cell r="CP257">
            <v>0</v>
          </cell>
          <cell r="CS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L257">
            <v>0</v>
          </cell>
          <cell r="DM257">
            <v>0</v>
          </cell>
          <cell r="DO257">
            <v>0</v>
          </cell>
          <cell r="DQ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R258">
            <v>0</v>
          </cell>
          <cell r="V258">
            <v>0</v>
          </cell>
          <cell r="W258">
            <v>6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BA258">
            <v>0</v>
          </cell>
          <cell r="BB258">
            <v>0</v>
          </cell>
          <cell r="BH258">
            <v>0</v>
          </cell>
          <cell r="BI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U258">
            <v>0</v>
          </cell>
          <cell r="BV258">
            <v>0</v>
          </cell>
          <cell r="BW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2</v>
          </cell>
          <cell r="CN258">
            <v>2</v>
          </cell>
          <cell r="CO258">
            <v>0</v>
          </cell>
          <cell r="CP258">
            <v>0</v>
          </cell>
          <cell r="CS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3</v>
          </cell>
          <cell r="DH258">
            <v>3</v>
          </cell>
          <cell r="DL258">
            <v>0</v>
          </cell>
          <cell r="DM258">
            <v>0</v>
          </cell>
          <cell r="DO258">
            <v>0</v>
          </cell>
          <cell r="DQ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R259">
            <v>0</v>
          </cell>
          <cell r="V259">
            <v>0</v>
          </cell>
          <cell r="W259">
            <v>2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BA259">
            <v>0</v>
          </cell>
          <cell r="BB259">
            <v>0</v>
          </cell>
          <cell r="BH259">
            <v>0</v>
          </cell>
          <cell r="BI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U259">
            <v>0</v>
          </cell>
          <cell r="BV259">
            <v>0</v>
          </cell>
          <cell r="BW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N259">
            <v>0</v>
          </cell>
          <cell r="CO259">
            <v>0</v>
          </cell>
          <cell r="CP259">
            <v>0</v>
          </cell>
          <cell r="CS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1</v>
          </cell>
          <cell r="DH259">
            <v>0</v>
          </cell>
          <cell r="DL259">
            <v>0</v>
          </cell>
          <cell r="DM259">
            <v>0</v>
          </cell>
          <cell r="DO259">
            <v>0</v>
          </cell>
          <cell r="DQ259">
            <v>1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R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BA260">
            <v>0</v>
          </cell>
          <cell r="BB260">
            <v>0</v>
          </cell>
          <cell r="BH260">
            <v>0</v>
          </cell>
          <cell r="BI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U260">
            <v>0</v>
          </cell>
          <cell r="BV260">
            <v>0</v>
          </cell>
          <cell r="BW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N260">
            <v>0</v>
          </cell>
          <cell r="CO260">
            <v>0</v>
          </cell>
          <cell r="CP260">
            <v>0</v>
          </cell>
          <cell r="CS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L260">
            <v>0</v>
          </cell>
          <cell r="DM260">
            <v>0</v>
          </cell>
          <cell r="DO260">
            <v>0</v>
          </cell>
          <cell r="DQ260">
            <v>0</v>
          </cell>
          <cell r="DW260">
            <v>6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R261">
            <v>0</v>
          </cell>
          <cell r="V261">
            <v>0</v>
          </cell>
          <cell r="W261">
            <v>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BA261">
            <v>0</v>
          </cell>
          <cell r="BB261">
            <v>0</v>
          </cell>
          <cell r="BH261">
            <v>0</v>
          </cell>
          <cell r="BI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U261">
            <v>0</v>
          </cell>
          <cell r="BV261">
            <v>0</v>
          </cell>
          <cell r="BW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N261">
            <v>0</v>
          </cell>
          <cell r="CO261">
            <v>0</v>
          </cell>
          <cell r="CP261">
            <v>0</v>
          </cell>
          <cell r="CS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2</v>
          </cell>
          <cell r="DH261">
            <v>0</v>
          </cell>
          <cell r="DL261">
            <v>0</v>
          </cell>
          <cell r="DM261">
            <v>0</v>
          </cell>
          <cell r="DO261">
            <v>0</v>
          </cell>
          <cell r="DQ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R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BA262">
            <v>0</v>
          </cell>
          <cell r="BB262">
            <v>0</v>
          </cell>
          <cell r="BH262">
            <v>0</v>
          </cell>
          <cell r="BI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U262">
            <v>0</v>
          </cell>
          <cell r="BV262">
            <v>0</v>
          </cell>
          <cell r="BW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H262">
            <v>1</v>
          </cell>
          <cell r="CI262">
            <v>0</v>
          </cell>
          <cell r="CJ262">
            <v>0</v>
          </cell>
          <cell r="CK262">
            <v>0</v>
          </cell>
          <cell r="CN262">
            <v>0</v>
          </cell>
          <cell r="CO262">
            <v>0</v>
          </cell>
          <cell r="CP262">
            <v>0</v>
          </cell>
          <cell r="CS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L262">
            <v>0</v>
          </cell>
          <cell r="DM262">
            <v>0</v>
          </cell>
          <cell r="DO262">
            <v>0</v>
          </cell>
          <cell r="DQ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R263">
            <v>0</v>
          </cell>
          <cell r="V263">
            <v>0</v>
          </cell>
          <cell r="W263">
            <v>5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BA263">
            <v>0</v>
          </cell>
          <cell r="BB263">
            <v>0</v>
          </cell>
          <cell r="BH263">
            <v>0</v>
          </cell>
          <cell r="BI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U263">
            <v>0</v>
          </cell>
          <cell r="BV263">
            <v>0</v>
          </cell>
          <cell r="BW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N263">
            <v>0</v>
          </cell>
          <cell r="CO263">
            <v>0</v>
          </cell>
          <cell r="CP263">
            <v>0</v>
          </cell>
          <cell r="CS263">
            <v>0</v>
          </cell>
          <cell r="CU263">
            <v>1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B263">
            <v>0</v>
          </cell>
          <cell r="DC263">
            <v>11</v>
          </cell>
          <cell r="DD263">
            <v>0</v>
          </cell>
          <cell r="DE263">
            <v>0</v>
          </cell>
          <cell r="DF263">
            <v>1</v>
          </cell>
          <cell r="DG263">
            <v>4</v>
          </cell>
          <cell r="DH263">
            <v>0</v>
          </cell>
          <cell r="DL263">
            <v>0</v>
          </cell>
          <cell r="DM263">
            <v>0</v>
          </cell>
          <cell r="DO263">
            <v>0</v>
          </cell>
          <cell r="DQ263">
            <v>0</v>
          </cell>
          <cell r="DW263">
            <v>4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R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BA264">
            <v>0</v>
          </cell>
          <cell r="BB264">
            <v>0</v>
          </cell>
          <cell r="BH264">
            <v>0</v>
          </cell>
          <cell r="BI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U264">
            <v>0</v>
          </cell>
          <cell r="BV264">
            <v>0</v>
          </cell>
          <cell r="BW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N264">
            <v>0</v>
          </cell>
          <cell r="CO264">
            <v>0</v>
          </cell>
          <cell r="CP264">
            <v>0</v>
          </cell>
          <cell r="CS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L264">
            <v>0</v>
          </cell>
          <cell r="DM264">
            <v>0</v>
          </cell>
          <cell r="DO264">
            <v>0</v>
          </cell>
          <cell r="DQ264">
            <v>0</v>
          </cell>
          <cell r="DW264">
            <v>9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R265">
            <v>0</v>
          </cell>
          <cell r="V265">
            <v>0</v>
          </cell>
          <cell r="W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BA265">
            <v>0</v>
          </cell>
          <cell r="BB265">
            <v>0</v>
          </cell>
          <cell r="BH265">
            <v>0</v>
          </cell>
          <cell r="BI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U265">
            <v>0</v>
          </cell>
          <cell r="BV265">
            <v>0</v>
          </cell>
          <cell r="BW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N265">
            <v>0</v>
          </cell>
          <cell r="CO265">
            <v>0</v>
          </cell>
          <cell r="CP265">
            <v>0</v>
          </cell>
          <cell r="CS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1</v>
          </cell>
          <cell r="DH265">
            <v>0</v>
          </cell>
          <cell r="DL265">
            <v>0</v>
          </cell>
          <cell r="DM265">
            <v>0</v>
          </cell>
          <cell r="DO265">
            <v>0</v>
          </cell>
          <cell r="DQ265">
            <v>0</v>
          </cell>
          <cell r="DW265">
            <v>7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R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BA266">
            <v>0</v>
          </cell>
          <cell r="BB266">
            <v>0</v>
          </cell>
          <cell r="BH266">
            <v>0</v>
          </cell>
          <cell r="BI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U266">
            <v>0</v>
          </cell>
          <cell r="BV266">
            <v>0</v>
          </cell>
          <cell r="BW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N266">
            <v>0</v>
          </cell>
          <cell r="CO266">
            <v>0</v>
          </cell>
          <cell r="CP266">
            <v>0</v>
          </cell>
          <cell r="CS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L266">
            <v>0</v>
          </cell>
          <cell r="DM266">
            <v>0</v>
          </cell>
          <cell r="DO266">
            <v>0</v>
          </cell>
          <cell r="DQ266">
            <v>0</v>
          </cell>
          <cell r="DW266">
            <v>40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R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2</v>
          </cell>
          <cell r="AS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BA267">
            <v>0</v>
          </cell>
          <cell r="BB267">
            <v>0</v>
          </cell>
          <cell r="BH267">
            <v>0</v>
          </cell>
          <cell r="BI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U267">
            <v>0</v>
          </cell>
          <cell r="BV267">
            <v>0</v>
          </cell>
          <cell r="BW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N267">
            <v>0</v>
          </cell>
          <cell r="CO267">
            <v>0</v>
          </cell>
          <cell r="CP267">
            <v>0</v>
          </cell>
          <cell r="CS267">
            <v>0</v>
          </cell>
          <cell r="CU267">
            <v>0</v>
          </cell>
          <cell r="CV267">
            <v>2</v>
          </cell>
          <cell r="CW267">
            <v>2</v>
          </cell>
          <cell r="CX267">
            <v>0</v>
          </cell>
          <cell r="CY267">
            <v>0</v>
          </cell>
          <cell r="CZ267">
            <v>0</v>
          </cell>
          <cell r="DB267">
            <v>0</v>
          </cell>
          <cell r="DC267">
            <v>4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L267">
            <v>0</v>
          </cell>
          <cell r="DM267">
            <v>0</v>
          </cell>
          <cell r="DO267">
            <v>0</v>
          </cell>
          <cell r="DQ267">
            <v>0</v>
          </cell>
          <cell r="DW267">
            <v>3</v>
          </cell>
          <cell r="DX267">
            <v>0</v>
          </cell>
          <cell r="DY267">
            <v>8</v>
          </cell>
          <cell r="DZ267">
            <v>0</v>
          </cell>
          <cell r="EA267">
            <v>0</v>
          </cell>
          <cell r="EB267">
            <v>0</v>
          </cell>
          <cell r="EC267">
            <v>22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R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BA268">
            <v>0</v>
          </cell>
          <cell r="BB268">
            <v>0</v>
          </cell>
          <cell r="BH268">
            <v>0</v>
          </cell>
          <cell r="BI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U268">
            <v>0</v>
          </cell>
          <cell r="BV268">
            <v>0</v>
          </cell>
          <cell r="BW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N268">
            <v>1</v>
          </cell>
          <cell r="CO268">
            <v>0</v>
          </cell>
          <cell r="CP268">
            <v>0</v>
          </cell>
          <cell r="CS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L268">
            <v>0</v>
          </cell>
          <cell r="DM268">
            <v>0</v>
          </cell>
          <cell r="DO268">
            <v>0</v>
          </cell>
          <cell r="DQ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R269">
            <v>0</v>
          </cell>
          <cell r="V269">
            <v>0</v>
          </cell>
          <cell r="W269">
            <v>2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BA269">
            <v>0</v>
          </cell>
          <cell r="BB269">
            <v>0</v>
          </cell>
          <cell r="BH269">
            <v>0</v>
          </cell>
          <cell r="BI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U269">
            <v>0</v>
          </cell>
          <cell r="BV269">
            <v>0</v>
          </cell>
          <cell r="BW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N269">
            <v>0</v>
          </cell>
          <cell r="CO269">
            <v>0</v>
          </cell>
          <cell r="CP269">
            <v>0</v>
          </cell>
          <cell r="CS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2</v>
          </cell>
          <cell r="DH269">
            <v>0</v>
          </cell>
          <cell r="DL269">
            <v>0</v>
          </cell>
          <cell r="DM269">
            <v>0</v>
          </cell>
          <cell r="DO269">
            <v>0</v>
          </cell>
          <cell r="DQ269">
            <v>0</v>
          </cell>
          <cell r="DW269">
            <v>1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R270">
            <v>0</v>
          </cell>
          <cell r="V270">
            <v>0</v>
          </cell>
          <cell r="W270">
            <v>1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BA270">
            <v>0</v>
          </cell>
          <cell r="BB270">
            <v>0</v>
          </cell>
          <cell r="BH270">
            <v>0</v>
          </cell>
          <cell r="BI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U270">
            <v>0</v>
          </cell>
          <cell r="BV270">
            <v>0</v>
          </cell>
          <cell r="BW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N270">
            <v>0</v>
          </cell>
          <cell r="CO270">
            <v>0</v>
          </cell>
          <cell r="CP270">
            <v>0</v>
          </cell>
          <cell r="CS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L270">
            <v>0</v>
          </cell>
          <cell r="DM270">
            <v>0</v>
          </cell>
          <cell r="DO270">
            <v>0</v>
          </cell>
          <cell r="DQ270">
            <v>1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R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BA271">
            <v>0</v>
          </cell>
          <cell r="BB271">
            <v>0</v>
          </cell>
          <cell r="BH271">
            <v>0</v>
          </cell>
          <cell r="BI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U271">
            <v>0</v>
          </cell>
          <cell r="BV271">
            <v>0</v>
          </cell>
          <cell r="BW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N271">
            <v>0</v>
          </cell>
          <cell r="CO271">
            <v>0</v>
          </cell>
          <cell r="CP271">
            <v>0</v>
          </cell>
          <cell r="CS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L271">
            <v>0</v>
          </cell>
          <cell r="DM271">
            <v>0</v>
          </cell>
          <cell r="DO271">
            <v>0</v>
          </cell>
          <cell r="DQ271">
            <v>0</v>
          </cell>
          <cell r="DW271">
            <v>9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R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BA272">
            <v>0</v>
          </cell>
          <cell r="BB272">
            <v>0</v>
          </cell>
          <cell r="BH272">
            <v>0</v>
          </cell>
          <cell r="BI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U272">
            <v>0</v>
          </cell>
          <cell r="BV272">
            <v>0</v>
          </cell>
          <cell r="BW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N272">
            <v>1</v>
          </cell>
          <cell r="CO272">
            <v>0</v>
          </cell>
          <cell r="CP272">
            <v>0</v>
          </cell>
          <cell r="CS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L272">
            <v>0</v>
          </cell>
          <cell r="DM272">
            <v>0</v>
          </cell>
          <cell r="DO272">
            <v>0</v>
          </cell>
          <cell r="DQ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R273">
            <v>0</v>
          </cell>
          <cell r="V273">
            <v>0</v>
          </cell>
          <cell r="W273">
            <v>2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BA273">
            <v>0</v>
          </cell>
          <cell r="BB273">
            <v>0</v>
          </cell>
          <cell r="BH273">
            <v>0</v>
          </cell>
          <cell r="BI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U273">
            <v>0</v>
          </cell>
          <cell r="BV273">
            <v>0</v>
          </cell>
          <cell r="BW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N273">
            <v>0</v>
          </cell>
          <cell r="CO273">
            <v>0</v>
          </cell>
          <cell r="CP273">
            <v>0</v>
          </cell>
          <cell r="CS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1</v>
          </cell>
          <cell r="DH273">
            <v>0</v>
          </cell>
          <cell r="DL273">
            <v>0</v>
          </cell>
          <cell r="DM273">
            <v>0</v>
          </cell>
          <cell r="DO273">
            <v>0</v>
          </cell>
          <cell r="DQ273">
            <v>1</v>
          </cell>
          <cell r="DW273">
            <v>3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R274">
            <v>0</v>
          </cell>
          <cell r="V274">
            <v>0</v>
          </cell>
          <cell r="W274">
            <v>1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BA274">
            <v>0</v>
          </cell>
          <cell r="BB274">
            <v>0</v>
          </cell>
          <cell r="BH274">
            <v>0</v>
          </cell>
          <cell r="BI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U274">
            <v>0</v>
          </cell>
          <cell r="BV274">
            <v>0</v>
          </cell>
          <cell r="BW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N274">
            <v>0</v>
          </cell>
          <cell r="CO274">
            <v>0</v>
          </cell>
          <cell r="CP274">
            <v>0</v>
          </cell>
          <cell r="CS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1</v>
          </cell>
          <cell r="DH274">
            <v>0</v>
          </cell>
          <cell r="DL274">
            <v>0</v>
          </cell>
          <cell r="DM274">
            <v>0</v>
          </cell>
          <cell r="DO274">
            <v>0</v>
          </cell>
          <cell r="DQ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R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BA275">
            <v>0</v>
          </cell>
          <cell r="BB275">
            <v>0</v>
          </cell>
          <cell r="BH275">
            <v>0</v>
          </cell>
          <cell r="BI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U275">
            <v>0</v>
          </cell>
          <cell r="BV275">
            <v>0</v>
          </cell>
          <cell r="BW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N275">
            <v>0</v>
          </cell>
          <cell r="CO275">
            <v>0</v>
          </cell>
          <cell r="CP275">
            <v>0</v>
          </cell>
          <cell r="CS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L275">
            <v>0</v>
          </cell>
          <cell r="DM275">
            <v>0</v>
          </cell>
          <cell r="DO275">
            <v>0</v>
          </cell>
          <cell r="DQ275">
            <v>0</v>
          </cell>
          <cell r="DW275">
            <v>13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R276">
            <v>0</v>
          </cell>
          <cell r="V276">
            <v>0</v>
          </cell>
          <cell r="W276">
            <v>3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BA276">
            <v>0</v>
          </cell>
          <cell r="BB276">
            <v>0</v>
          </cell>
          <cell r="BH276">
            <v>0</v>
          </cell>
          <cell r="BI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U276">
            <v>0</v>
          </cell>
          <cell r="BV276">
            <v>0</v>
          </cell>
          <cell r="BW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N276">
            <v>0</v>
          </cell>
          <cell r="CO276">
            <v>0</v>
          </cell>
          <cell r="CP276">
            <v>0</v>
          </cell>
          <cell r="CS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2</v>
          </cell>
          <cell r="DG276">
            <v>1</v>
          </cell>
          <cell r="DH276">
            <v>0</v>
          </cell>
          <cell r="DL276">
            <v>0</v>
          </cell>
          <cell r="DM276">
            <v>0</v>
          </cell>
          <cell r="DO276">
            <v>0</v>
          </cell>
          <cell r="DQ276">
            <v>0</v>
          </cell>
          <cell r="DW276">
            <v>3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R277">
            <v>0</v>
          </cell>
          <cell r="V277">
            <v>0</v>
          </cell>
          <cell r="W277">
            <v>1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BA277">
            <v>0</v>
          </cell>
          <cell r="BB277">
            <v>0</v>
          </cell>
          <cell r="BH277">
            <v>0</v>
          </cell>
          <cell r="BI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U277">
            <v>0</v>
          </cell>
          <cell r="BV277">
            <v>0</v>
          </cell>
          <cell r="BW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H277">
            <v>4</v>
          </cell>
          <cell r="CI277">
            <v>0</v>
          </cell>
          <cell r="CJ277">
            <v>0</v>
          </cell>
          <cell r="CK277">
            <v>0</v>
          </cell>
          <cell r="CN277">
            <v>0</v>
          </cell>
          <cell r="CO277">
            <v>0</v>
          </cell>
          <cell r="CP277">
            <v>0</v>
          </cell>
          <cell r="CS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1</v>
          </cell>
          <cell r="DH277">
            <v>0</v>
          </cell>
          <cell r="DL277">
            <v>0</v>
          </cell>
          <cell r="DM277">
            <v>0</v>
          </cell>
          <cell r="DO277">
            <v>0</v>
          </cell>
          <cell r="DQ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R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BA278">
            <v>0</v>
          </cell>
          <cell r="BB278">
            <v>0</v>
          </cell>
          <cell r="BH278">
            <v>0</v>
          </cell>
          <cell r="BI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U278">
            <v>0</v>
          </cell>
          <cell r="BV278">
            <v>0</v>
          </cell>
          <cell r="BW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N278">
            <v>0</v>
          </cell>
          <cell r="CO278">
            <v>0</v>
          </cell>
          <cell r="CP278">
            <v>0</v>
          </cell>
          <cell r="CS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L278">
            <v>0</v>
          </cell>
          <cell r="DM278">
            <v>0</v>
          </cell>
          <cell r="DO278">
            <v>0</v>
          </cell>
          <cell r="DQ278">
            <v>0</v>
          </cell>
          <cell r="DW278">
            <v>1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R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BA279">
            <v>0</v>
          </cell>
          <cell r="BB279">
            <v>0</v>
          </cell>
          <cell r="BH279">
            <v>0</v>
          </cell>
          <cell r="BI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U279">
            <v>0</v>
          </cell>
          <cell r="BV279">
            <v>0</v>
          </cell>
          <cell r="BW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N279">
            <v>0</v>
          </cell>
          <cell r="CO279">
            <v>0</v>
          </cell>
          <cell r="CP279">
            <v>0</v>
          </cell>
          <cell r="CS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L279">
            <v>0</v>
          </cell>
          <cell r="DM279">
            <v>0</v>
          </cell>
          <cell r="DO279">
            <v>0</v>
          </cell>
          <cell r="DQ279">
            <v>0</v>
          </cell>
          <cell r="DW279">
            <v>3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R280">
            <v>0</v>
          </cell>
          <cell r="V280">
            <v>0</v>
          </cell>
          <cell r="W280">
            <v>2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BA280">
            <v>0</v>
          </cell>
          <cell r="BB280">
            <v>0</v>
          </cell>
          <cell r="BH280">
            <v>0</v>
          </cell>
          <cell r="BI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U280">
            <v>0</v>
          </cell>
          <cell r="BV280">
            <v>0</v>
          </cell>
          <cell r="BW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N280">
            <v>0</v>
          </cell>
          <cell r="CO280">
            <v>0</v>
          </cell>
          <cell r="CP280">
            <v>0</v>
          </cell>
          <cell r="CS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2</v>
          </cell>
          <cell r="DH280">
            <v>0</v>
          </cell>
          <cell r="DL280">
            <v>0</v>
          </cell>
          <cell r="DM280">
            <v>0</v>
          </cell>
          <cell r="DO280">
            <v>0</v>
          </cell>
          <cell r="DQ280">
            <v>0</v>
          </cell>
          <cell r="DW280">
            <v>1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R281">
            <v>0</v>
          </cell>
          <cell r="V281">
            <v>0</v>
          </cell>
          <cell r="W281">
            <v>4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BA281">
            <v>0</v>
          </cell>
          <cell r="BB281">
            <v>0</v>
          </cell>
          <cell r="BH281">
            <v>0</v>
          </cell>
          <cell r="BI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U281">
            <v>0</v>
          </cell>
          <cell r="BV281">
            <v>0</v>
          </cell>
          <cell r="BW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N281">
            <v>0</v>
          </cell>
          <cell r="CO281">
            <v>0</v>
          </cell>
          <cell r="CP281">
            <v>0</v>
          </cell>
          <cell r="CS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4</v>
          </cell>
          <cell r="DH281">
            <v>0</v>
          </cell>
          <cell r="DL281">
            <v>0</v>
          </cell>
          <cell r="DM281">
            <v>0</v>
          </cell>
          <cell r="DO281">
            <v>0</v>
          </cell>
          <cell r="DQ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R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BA282">
            <v>0</v>
          </cell>
          <cell r="BB282">
            <v>0</v>
          </cell>
          <cell r="BH282">
            <v>0</v>
          </cell>
          <cell r="BI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U282">
            <v>0</v>
          </cell>
          <cell r="BV282">
            <v>0</v>
          </cell>
          <cell r="BW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N282">
            <v>0</v>
          </cell>
          <cell r="CO282">
            <v>0</v>
          </cell>
          <cell r="CP282">
            <v>0</v>
          </cell>
          <cell r="CS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L282">
            <v>0</v>
          </cell>
          <cell r="DM282">
            <v>0</v>
          </cell>
          <cell r="DO282">
            <v>0</v>
          </cell>
          <cell r="DQ282">
            <v>0</v>
          </cell>
          <cell r="DW282">
            <v>3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R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BA283">
            <v>0</v>
          </cell>
          <cell r="BB283">
            <v>0</v>
          </cell>
          <cell r="BH283">
            <v>0</v>
          </cell>
          <cell r="BI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U283">
            <v>0</v>
          </cell>
          <cell r="BV283">
            <v>0</v>
          </cell>
          <cell r="BW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H283">
            <v>4</v>
          </cell>
          <cell r="CI283">
            <v>0</v>
          </cell>
          <cell r="CJ283">
            <v>0</v>
          </cell>
          <cell r="CK283">
            <v>0</v>
          </cell>
          <cell r="CN283">
            <v>0</v>
          </cell>
          <cell r="CO283">
            <v>0</v>
          </cell>
          <cell r="CP283">
            <v>0</v>
          </cell>
          <cell r="CS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L283">
            <v>0</v>
          </cell>
          <cell r="DM283">
            <v>0</v>
          </cell>
          <cell r="DO283">
            <v>0</v>
          </cell>
          <cell r="DQ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R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BA284">
            <v>0</v>
          </cell>
          <cell r="BB284">
            <v>0</v>
          </cell>
          <cell r="BH284">
            <v>0</v>
          </cell>
          <cell r="BI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U284">
            <v>0</v>
          </cell>
          <cell r="BV284">
            <v>0</v>
          </cell>
          <cell r="BW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H284">
            <v>4</v>
          </cell>
          <cell r="CI284">
            <v>0</v>
          </cell>
          <cell r="CJ284">
            <v>0</v>
          </cell>
          <cell r="CK284">
            <v>0</v>
          </cell>
          <cell r="CN284">
            <v>0</v>
          </cell>
          <cell r="CO284">
            <v>0</v>
          </cell>
          <cell r="CP284">
            <v>0</v>
          </cell>
          <cell r="CS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L284">
            <v>0</v>
          </cell>
          <cell r="DM284">
            <v>0</v>
          </cell>
          <cell r="DO284">
            <v>0</v>
          </cell>
          <cell r="DQ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R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BA285">
            <v>0</v>
          </cell>
          <cell r="BB285">
            <v>0</v>
          </cell>
          <cell r="BH285">
            <v>0</v>
          </cell>
          <cell r="BI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U285">
            <v>0</v>
          </cell>
          <cell r="BV285">
            <v>0</v>
          </cell>
          <cell r="BW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N285">
            <v>0</v>
          </cell>
          <cell r="CO285">
            <v>0</v>
          </cell>
          <cell r="CP285">
            <v>0</v>
          </cell>
          <cell r="CS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L285">
            <v>0</v>
          </cell>
          <cell r="DM285">
            <v>0</v>
          </cell>
          <cell r="DO285">
            <v>0</v>
          </cell>
          <cell r="DQ285">
            <v>0</v>
          </cell>
          <cell r="DW285">
            <v>6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R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BA286">
            <v>0</v>
          </cell>
          <cell r="BB286">
            <v>0</v>
          </cell>
          <cell r="BH286">
            <v>0</v>
          </cell>
          <cell r="BI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U286">
            <v>0</v>
          </cell>
          <cell r="BV286">
            <v>0</v>
          </cell>
          <cell r="BW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N286">
            <v>0</v>
          </cell>
          <cell r="CO286">
            <v>0</v>
          </cell>
          <cell r="CP286">
            <v>0</v>
          </cell>
          <cell r="CS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L286">
            <v>0</v>
          </cell>
          <cell r="DM286">
            <v>0</v>
          </cell>
          <cell r="DO286">
            <v>0</v>
          </cell>
          <cell r="DQ286">
            <v>0</v>
          </cell>
          <cell r="DW286">
            <v>4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R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BA287">
            <v>0</v>
          </cell>
          <cell r="BB287">
            <v>0</v>
          </cell>
          <cell r="BH287">
            <v>0</v>
          </cell>
          <cell r="BI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U287">
            <v>0</v>
          </cell>
          <cell r="BV287">
            <v>0</v>
          </cell>
          <cell r="BW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N287">
            <v>1</v>
          </cell>
          <cell r="CO287">
            <v>0</v>
          </cell>
          <cell r="CP287">
            <v>0</v>
          </cell>
          <cell r="CS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L287">
            <v>0</v>
          </cell>
          <cell r="DM287">
            <v>0</v>
          </cell>
          <cell r="DO287">
            <v>0</v>
          </cell>
          <cell r="DQ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R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BA288">
            <v>0</v>
          </cell>
          <cell r="BB288">
            <v>0</v>
          </cell>
          <cell r="BH288">
            <v>0</v>
          </cell>
          <cell r="BI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U288">
            <v>0</v>
          </cell>
          <cell r="BV288">
            <v>0</v>
          </cell>
          <cell r="BW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H288">
            <v>2</v>
          </cell>
          <cell r="CI288">
            <v>0</v>
          </cell>
          <cell r="CJ288">
            <v>0</v>
          </cell>
          <cell r="CK288">
            <v>0</v>
          </cell>
          <cell r="CN288">
            <v>0</v>
          </cell>
          <cell r="CO288">
            <v>0</v>
          </cell>
          <cell r="CP288">
            <v>0</v>
          </cell>
          <cell r="CS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L288">
            <v>0</v>
          </cell>
          <cell r="DM288">
            <v>0</v>
          </cell>
          <cell r="DO288">
            <v>0</v>
          </cell>
          <cell r="DQ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R289">
            <v>0</v>
          </cell>
          <cell r="V289">
            <v>0</v>
          </cell>
          <cell r="W289">
            <v>1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BA289">
            <v>0</v>
          </cell>
          <cell r="BB289">
            <v>0</v>
          </cell>
          <cell r="BH289">
            <v>0</v>
          </cell>
          <cell r="BI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U289">
            <v>0</v>
          </cell>
          <cell r="BV289">
            <v>0</v>
          </cell>
          <cell r="BW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N289">
            <v>0</v>
          </cell>
          <cell r="CO289">
            <v>0</v>
          </cell>
          <cell r="CP289">
            <v>0</v>
          </cell>
          <cell r="CS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1</v>
          </cell>
          <cell r="DH289">
            <v>0</v>
          </cell>
          <cell r="DL289">
            <v>0</v>
          </cell>
          <cell r="DM289">
            <v>0</v>
          </cell>
          <cell r="DO289">
            <v>0</v>
          </cell>
          <cell r="DQ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R290">
            <v>0</v>
          </cell>
          <cell r="V290">
            <v>0</v>
          </cell>
          <cell r="W290">
            <v>1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BA290">
            <v>0</v>
          </cell>
          <cell r="BB290">
            <v>0</v>
          </cell>
          <cell r="BH290">
            <v>0</v>
          </cell>
          <cell r="BI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U290">
            <v>0</v>
          </cell>
          <cell r="BV290">
            <v>0</v>
          </cell>
          <cell r="BW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N290">
            <v>0</v>
          </cell>
          <cell r="CO290">
            <v>0</v>
          </cell>
          <cell r="CP290">
            <v>0</v>
          </cell>
          <cell r="CS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1</v>
          </cell>
          <cell r="DH290">
            <v>0</v>
          </cell>
          <cell r="DL290">
            <v>0</v>
          </cell>
          <cell r="DM290">
            <v>0</v>
          </cell>
          <cell r="DO290">
            <v>0</v>
          </cell>
          <cell r="DQ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R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BA291">
            <v>0</v>
          </cell>
          <cell r="BB291">
            <v>0</v>
          </cell>
          <cell r="BH291">
            <v>0</v>
          </cell>
          <cell r="BI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U291">
            <v>0</v>
          </cell>
          <cell r="BV291">
            <v>0</v>
          </cell>
          <cell r="BW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N291">
            <v>1</v>
          </cell>
          <cell r="CO291">
            <v>0</v>
          </cell>
          <cell r="CP291">
            <v>0</v>
          </cell>
          <cell r="CS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L291">
            <v>0</v>
          </cell>
          <cell r="DM291">
            <v>0</v>
          </cell>
          <cell r="DO291">
            <v>0</v>
          </cell>
          <cell r="DQ291">
            <v>0</v>
          </cell>
          <cell r="DW291">
            <v>3</v>
          </cell>
          <cell r="DX291">
            <v>0</v>
          </cell>
          <cell r="DY291">
            <v>2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R292">
            <v>0</v>
          </cell>
          <cell r="V292">
            <v>0</v>
          </cell>
          <cell r="W292">
            <v>4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BA292">
            <v>0</v>
          </cell>
          <cell r="BB292">
            <v>0</v>
          </cell>
          <cell r="BH292">
            <v>0</v>
          </cell>
          <cell r="BI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U292">
            <v>0</v>
          </cell>
          <cell r="BV292">
            <v>0</v>
          </cell>
          <cell r="BW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N292">
            <v>0</v>
          </cell>
          <cell r="CO292">
            <v>0</v>
          </cell>
          <cell r="CP292">
            <v>0</v>
          </cell>
          <cell r="CS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4</v>
          </cell>
          <cell r="DH292">
            <v>0</v>
          </cell>
          <cell r="DL292">
            <v>0</v>
          </cell>
          <cell r="DM292">
            <v>0</v>
          </cell>
          <cell r="DO292">
            <v>0</v>
          </cell>
          <cell r="DQ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R293">
            <v>0</v>
          </cell>
          <cell r="V293">
            <v>0</v>
          </cell>
          <cell r="W293">
            <v>1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BA293">
            <v>0</v>
          </cell>
          <cell r="BB293">
            <v>0</v>
          </cell>
          <cell r="BH293">
            <v>0</v>
          </cell>
          <cell r="BI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U293">
            <v>0</v>
          </cell>
          <cell r="BV293">
            <v>0</v>
          </cell>
          <cell r="BW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N293">
            <v>0</v>
          </cell>
          <cell r="CO293">
            <v>0</v>
          </cell>
          <cell r="CP293">
            <v>0</v>
          </cell>
          <cell r="CS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1</v>
          </cell>
          <cell r="DH293">
            <v>0</v>
          </cell>
          <cell r="DL293">
            <v>0</v>
          </cell>
          <cell r="DM293">
            <v>0</v>
          </cell>
          <cell r="DO293">
            <v>0</v>
          </cell>
          <cell r="DQ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R294">
            <v>0</v>
          </cell>
          <cell r="V294">
            <v>0</v>
          </cell>
          <cell r="W294">
            <v>1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BA294">
            <v>0</v>
          </cell>
          <cell r="BB294">
            <v>0</v>
          </cell>
          <cell r="BH294">
            <v>0</v>
          </cell>
          <cell r="BI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U294">
            <v>0</v>
          </cell>
          <cell r="BV294">
            <v>0</v>
          </cell>
          <cell r="BW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N294">
            <v>0</v>
          </cell>
          <cell r="CO294">
            <v>0</v>
          </cell>
          <cell r="CP294">
            <v>0</v>
          </cell>
          <cell r="CS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1</v>
          </cell>
          <cell r="DG294">
            <v>0</v>
          </cell>
          <cell r="DH294">
            <v>0</v>
          </cell>
          <cell r="DL294">
            <v>0</v>
          </cell>
          <cell r="DM294">
            <v>0</v>
          </cell>
          <cell r="DO294">
            <v>0</v>
          </cell>
          <cell r="DQ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R295">
            <v>0</v>
          </cell>
          <cell r="V295">
            <v>0</v>
          </cell>
          <cell r="W295">
            <v>2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BA295">
            <v>0</v>
          </cell>
          <cell r="BB295">
            <v>0</v>
          </cell>
          <cell r="BH295">
            <v>0</v>
          </cell>
          <cell r="BI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U295">
            <v>0</v>
          </cell>
          <cell r="BV295">
            <v>0</v>
          </cell>
          <cell r="BW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N295">
            <v>0</v>
          </cell>
          <cell r="CO295">
            <v>0</v>
          </cell>
          <cell r="CP295">
            <v>0</v>
          </cell>
          <cell r="CS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2</v>
          </cell>
          <cell r="DG295">
            <v>0</v>
          </cell>
          <cell r="DH295">
            <v>0</v>
          </cell>
          <cell r="DL295">
            <v>0</v>
          </cell>
          <cell r="DM295">
            <v>0</v>
          </cell>
          <cell r="DO295">
            <v>0</v>
          </cell>
          <cell r="DQ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R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BA296">
            <v>0</v>
          </cell>
          <cell r="BB296">
            <v>0</v>
          </cell>
          <cell r="BH296">
            <v>0</v>
          </cell>
          <cell r="BI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U296">
            <v>0</v>
          </cell>
          <cell r="BV296">
            <v>0</v>
          </cell>
          <cell r="BW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N296">
            <v>0</v>
          </cell>
          <cell r="CO296">
            <v>0</v>
          </cell>
          <cell r="CP296">
            <v>0</v>
          </cell>
          <cell r="CS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L296">
            <v>0</v>
          </cell>
          <cell r="DM296">
            <v>0</v>
          </cell>
          <cell r="DO296">
            <v>0</v>
          </cell>
          <cell r="DQ296">
            <v>0</v>
          </cell>
          <cell r="DW296">
            <v>1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R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BA297">
            <v>0</v>
          </cell>
          <cell r="BB297">
            <v>0</v>
          </cell>
          <cell r="BH297">
            <v>0</v>
          </cell>
          <cell r="BI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U297">
            <v>0</v>
          </cell>
          <cell r="BV297">
            <v>0</v>
          </cell>
          <cell r="BW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N297">
            <v>0</v>
          </cell>
          <cell r="CO297">
            <v>0</v>
          </cell>
          <cell r="CP297">
            <v>0</v>
          </cell>
          <cell r="CS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L297">
            <v>0</v>
          </cell>
          <cell r="DM297">
            <v>0</v>
          </cell>
          <cell r="DO297">
            <v>0</v>
          </cell>
          <cell r="DQ297">
            <v>0</v>
          </cell>
          <cell r="DW297">
            <v>2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R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BA298">
            <v>0</v>
          </cell>
          <cell r="BB298">
            <v>0</v>
          </cell>
          <cell r="BH298">
            <v>0</v>
          </cell>
          <cell r="BI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U298">
            <v>0</v>
          </cell>
          <cell r="BV298">
            <v>0</v>
          </cell>
          <cell r="BW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N298">
            <v>0</v>
          </cell>
          <cell r="CO298">
            <v>0</v>
          </cell>
          <cell r="CP298">
            <v>0</v>
          </cell>
          <cell r="CS298">
            <v>0</v>
          </cell>
          <cell r="CU298">
            <v>0</v>
          </cell>
          <cell r="CV298">
            <v>20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L298">
            <v>0</v>
          </cell>
          <cell r="DM298">
            <v>0</v>
          </cell>
          <cell r="DO298">
            <v>0</v>
          </cell>
          <cell r="DQ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R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BA299">
            <v>0</v>
          </cell>
          <cell r="BB299">
            <v>0</v>
          </cell>
          <cell r="BH299">
            <v>0</v>
          </cell>
          <cell r="BI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U299">
            <v>0</v>
          </cell>
          <cell r="BV299">
            <v>0</v>
          </cell>
          <cell r="BW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N299">
            <v>0</v>
          </cell>
          <cell r="CO299">
            <v>0</v>
          </cell>
          <cell r="CP299">
            <v>0</v>
          </cell>
          <cell r="CS299">
            <v>0</v>
          </cell>
          <cell r="CU299">
            <v>0</v>
          </cell>
          <cell r="CV299">
            <v>9</v>
          </cell>
          <cell r="CW299">
            <v>17</v>
          </cell>
          <cell r="CX299">
            <v>1</v>
          </cell>
          <cell r="CY299">
            <v>0</v>
          </cell>
          <cell r="CZ299">
            <v>0</v>
          </cell>
          <cell r="DB299">
            <v>3</v>
          </cell>
          <cell r="DC299">
            <v>0</v>
          </cell>
          <cell r="DD299">
            <v>3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L299">
            <v>0</v>
          </cell>
          <cell r="DM299">
            <v>0</v>
          </cell>
          <cell r="DO299">
            <v>0</v>
          </cell>
          <cell r="DQ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6</v>
          </cell>
          <cell r="EC299">
            <v>30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R300">
            <v>0</v>
          </cell>
          <cell r="V300">
            <v>0</v>
          </cell>
          <cell r="W300">
            <v>11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13</v>
          </cell>
          <cell r="AS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BA300">
            <v>0</v>
          </cell>
          <cell r="BB300">
            <v>0</v>
          </cell>
          <cell r="BH300">
            <v>0</v>
          </cell>
          <cell r="BI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U300">
            <v>0</v>
          </cell>
          <cell r="BV300">
            <v>0</v>
          </cell>
          <cell r="BW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H300">
            <v>28</v>
          </cell>
          <cell r="CI300">
            <v>0</v>
          </cell>
          <cell r="CJ300">
            <v>0</v>
          </cell>
          <cell r="CK300">
            <v>29</v>
          </cell>
          <cell r="CN300">
            <v>32</v>
          </cell>
          <cell r="CO300">
            <v>0</v>
          </cell>
          <cell r="CP300">
            <v>0</v>
          </cell>
          <cell r="CS300">
            <v>0</v>
          </cell>
          <cell r="CU300">
            <v>35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B300">
            <v>0</v>
          </cell>
          <cell r="DC300">
            <v>10</v>
          </cell>
          <cell r="DD300">
            <v>0</v>
          </cell>
          <cell r="DE300">
            <v>0</v>
          </cell>
          <cell r="DF300">
            <v>9</v>
          </cell>
          <cell r="DG300">
            <v>0</v>
          </cell>
          <cell r="DH300">
            <v>2</v>
          </cell>
          <cell r="DL300">
            <v>0</v>
          </cell>
          <cell r="DM300">
            <v>0</v>
          </cell>
          <cell r="DO300">
            <v>0</v>
          </cell>
          <cell r="DQ300">
            <v>0</v>
          </cell>
          <cell r="DW300">
            <v>62</v>
          </cell>
          <cell r="DX300">
            <v>0</v>
          </cell>
          <cell r="DY300">
            <v>49</v>
          </cell>
          <cell r="DZ300">
            <v>2</v>
          </cell>
          <cell r="EA300">
            <v>0</v>
          </cell>
          <cell r="EB300">
            <v>0</v>
          </cell>
          <cell r="EC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R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BA301">
            <v>0</v>
          </cell>
          <cell r="BB301">
            <v>0</v>
          </cell>
          <cell r="BH301">
            <v>0</v>
          </cell>
          <cell r="BI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U301">
            <v>0</v>
          </cell>
          <cell r="BV301">
            <v>0</v>
          </cell>
          <cell r="BW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N301">
            <v>0</v>
          </cell>
          <cell r="CO301">
            <v>0</v>
          </cell>
          <cell r="CP301">
            <v>0</v>
          </cell>
          <cell r="CS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L301">
            <v>0</v>
          </cell>
          <cell r="DM301">
            <v>0</v>
          </cell>
          <cell r="DO301">
            <v>0</v>
          </cell>
          <cell r="DQ301">
            <v>0</v>
          </cell>
          <cell r="DW301">
            <v>1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R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BA302">
            <v>0</v>
          </cell>
          <cell r="BB302">
            <v>0</v>
          </cell>
          <cell r="BH302">
            <v>0</v>
          </cell>
          <cell r="BI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U302">
            <v>0</v>
          </cell>
          <cell r="BV302">
            <v>0</v>
          </cell>
          <cell r="BW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N302">
            <v>0</v>
          </cell>
          <cell r="CO302">
            <v>0</v>
          </cell>
          <cell r="CP302">
            <v>0</v>
          </cell>
          <cell r="CS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L302">
            <v>0</v>
          </cell>
          <cell r="DM302">
            <v>0</v>
          </cell>
          <cell r="DO302">
            <v>0</v>
          </cell>
          <cell r="DQ302">
            <v>0</v>
          </cell>
          <cell r="DW302">
            <v>1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R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BA303">
            <v>0</v>
          </cell>
          <cell r="BB303">
            <v>0</v>
          </cell>
          <cell r="BH303">
            <v>0</v>
          </cell>
          <cell r="BI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U303">
            <v>0</v>
          </cell>
          <cell r="BV303">
            <v>0</v>
          </cell>
          <cell r="BW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N303">
            <v>0</v>
          </cell>
          <cell r="CO303">
            <v>0</v>
          </cell>
          <cell r="CP303">
            <v>0</v>
          </cell>
          <cell r="CS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L303">
            <v>0</v>
          </cell>
          <cell r="DM303">
            <v>0</v>
          </cell>
          <cell r="DO303">
            <v>0</v>
          </cell>
          <cell r="DQ303">
            <v>0</v>
          </cell>
          <cell r="DW303">
            <v>1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R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BA304">
            <v>0</v>
          </cell>
          <cell r="BB304">
            <v>0</v>
          </cell>
          <cell r="BH304">
            <v>0</v>
          </cell>
          <cell r="BI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U304">
            <v>0</v>
          </cell>
          <cell r="BV304">
            <v>0</v>
          </cell>
          <cell r="BW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N304">
            <v>0</v>
          </cell>
          <cell r="CO304">
            <v>0</v>
          </cell>
          <cell r="CP304">
            <v>0</v>
          </cell>
          <cell r="CS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L304">
            <v>0</v>
          </cell>
          <cell r="DM304">
            <v>0</v>
          </cell>
          <cell r="DO304">
            <v>0</v>
          </cell>
          <cell r="DQ304">
            <v>0</v>
          </cell>
          <cell r="DW304">
            <v>1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R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BA305">
            <v>0</v>
          </cell>
          <cell r="BB305">
            <v>0</v>
          </cell>
          <cell r="BH305">
            <v>0</v>
          </cell>
          <cell r="BI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U305">
            <v>0</v>
          </cell>
          <cell r="BV305">
            <v>0</v>
          </cell>
          <cell r="BW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N305">
            <v>0</v>
          </cell>
          <cell r="CO305">
            <v>0</v>
          </cell>
          <cell r="CP305">
            <v>0</v>
          </cell>
          <cell r="CS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L305">
            <v>0</v>
          </cell>
          <cell r="DM305">
            <v>0</v>
          </cell>
          <cell r="DO305">
            <v>0</v>
          </cell>
          <cell r="DQ305">
            <v>0</v>
          </cell>
          <cell r="DW305">
            <v>1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R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BA306">
            <v>0</v>
          </cell>
          <cell r="BB306">
            <v>0</v>
          </cell>
          <cell r="BH306">
            <v>0</v>
          </cell>
          <cell r="BI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U306">
            <v>0</v>
          </cell>
          <cell r="BV306">
            <v>0</v>
          </cell>
          <cell r="BW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N306">
            <v>0</v>
          </cell>
          <cell r="CO306">
            <v>0</v>
          </cell>
          <cell r="CP306">
            <v>0</v>
          </cell>
          <cell r="CS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L306">
            <v>0</v>
          </cell>
          <cell r="DM306">
            <v>0</v>
          </cell>
          <cell r="DO306">
            <v>0</v>
          </cell>
          <cell r="DQ306">
            <v>0</v>
          </cell>
          <cell r="DW306">
            <v>1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R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BA307">
            <v>0</v>
          </cell>
          <cell r="BB307">
            <v>0</v>
          </cell>
          <cell r="BH307">
            <v>0</v>
          </cell>
          <cell r="BI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U307">
            <v>0</v>
          </cell>
          <cell r="BV307">
            <v>0</v>
          </cell>
          <cell r="BW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N307">
            <v>0</v>
          </cell>
          <cell r="CO307">
            <v>0</v>
          </cell>
          <cell r="CP307">
            <v>0</v>
          </cell>
          <cell r="CS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L307">
            <v>0</v>
          </cell>
          <cell r="DM307">
            <v>0</v>
          </cell>
          <cell r="DO307">
            <v>0</v>
          </cell>
          <cell r="DQ307">
            <v>0</v>
          </cell>
          <cell r="DW307">
            <v>1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R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BA308">
            <v>0</v>
          </cell>
          <cell r="BB308">
            <v>0</v>
          </cell>
          <cell r="BH308">
            <v>0</v>
          </cell>
          <cell r="BI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U308">
            <v>0</v>
          </cell>
          <cell r="BV308">
            <v>0</v>
          </cell>
          <cell r="BW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N308">
            <v>0</v>
          </cell>
          <cell r="CO308">
            <v>0</v>
          </cell>
          <cell r="CP308">
            <v>0</v>
          </cell>
          <cell r="CS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L308">
            <v>0</v>
          </cell>
          <cell r="DM308">
            <v>0</v>
          </cell>
          <cell r="DO308">
            <v>0</v>
          </cell>
          <cell r="DQ308">
            <v>0</v>
          </cell>
          <cell r="DW308">
            <v>1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R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BA309">
            <v>0</v>
          </cell>
          <cell r="BB309">
            <v>0</v>
          </cell>
          <cell r="BH309">
            <v>0</v>
          </cell>
          <cell r="BI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U309">
            <v>0</v>
          </cell>
          <cell r="BV309">
            <v>0</v>
          </cell>
          <cell r="BW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N309">
            <v>0</v>
          </cell>
          <cell r="CO309">
            <v>0</v>
          </cell>
          <cell r="CP309">
            <v>0</v>
          </cell>
          <cell r="CS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L309">
            <v>0</v>
          </cell>
          <cell r="DM309">
            <v>0</v>
          </cell>
          <cell r="DO309">
            <v>0</v>
          </cell>
          <cell r="DQ309">
            <v>0</v>
          </cell>
          <cell r="DW309">
            <v>1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R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BA310">
            <v>0</v>
          </cell>
          <cell r="BB310">
            <v>0</v>
          </cell>
          <cell r="BH310">
            <v>0</v>
          </cell>
          <cell r="BI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U310">
            <v>0</v>
          </cell>
          <cell r="BV310">
            <v>0</v>
          </cell>
          <cell r="BW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N310">
            <v>0</v>
          </cell>
          <cell r="CO310">
            <v>0</v>
          </cell>
          <cell r="CP310">
            <v>0</v>
          </cell>
          <cell r="CS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L310">
            <v>0</v>
          </cell>
          <cell r="DM310">
            <v>0</v>
          </cell>
          <cell r="DO310">
            <v>0</v>
          </cell>
          <cell r="DQ310">
            <v>0</v>
          </cell>
          <cell r="DW310">
            <v>1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R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BA311">
            <v>0</v>
          </cell>
          <cell r="BB311">
            <v>0</v>
          </cell>
          <cell r="BH311">
            <v>0</v>
          </cell>
          <cell r="BI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U311">
            <v>0</v>
          </cell>
          <cell r="BV311">
            <v>0</v>
          </cell>
          <cell r="BW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N311">
            <v>0</v>
          </cell>
          <cell r="CO311">
            <v>0</v>
          </cell>
          <cell r="CP311">
            <v>0</v>
          </cell>
          <cell r="CS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L311">
            <v>0</v>
          </cell>
          <cell r="DM311">
            <v>0</v>
          </cell>
          <cell r="DO311">
            <v>0</v>
          </cell>
          <cell r="DQ311">
            <v>0</v>
          </cell>
          <cell r="DW311">
            <v>1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R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BA312">
            <v>0</v>
          </cell>
          <cell r="BB312">
            <v>0</v>
          </cell>
          <cell r="BH312">
            <v>0</v>
          </cell>
          <cell r="BI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U312">
            <v>0</v>
          </cell>
          <cell r="BV312">
            <v>0</v>
          </cell>
          <cell r="BW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N312">
            <v>0</v>
          </cell>
          <cell r="CO312">
            <v>0</v>
          </cell>
          <cell r="CP312">
            <v>0</v>
          </cell>
          <cell r="CS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L312">
            <v>0</v>
          </cell>
          <cell r="DM312">
            <v>0</v>
          </cell>
          <cell r="DO312">
            <v>0</v>
          </cell>
          <cell r="DQ312">
            <v>0</v>
          </cell>
          <cell r="DW312">
            <v>1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R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BA313">
            <v>0</v>
          </cell>
          <cell r="BB313">
            <v>0</v>
          </cell>
          <cell r="BH313">
            <v>0</v>
          </cell>
          <cell r="BI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U313">
            <v>0</v>
          </cell>
          <cell r="BV313">
            <v>0</v>
          </cell>
          <cell r="BW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N313">
            <v>0</v>
          </cell>
          <cell r="CO313">
            <v>0</v>
          </cell>
          <cell r="CP313">
            <v>0</v>
          </cell>
          <cell r="CS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L313">
            <v>0</v>
          </cell>
          <cell r="DM313">
            <v>0</v>
          </cell>
          <cell r="DO313">
            <v>0</v>
          </cell>
          <cell r="DQ313">
            <v>0</v>
          </cell>
          <cell r="DW313">
            <v>1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R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BA314">
            <v>0</v>
          </cell>
          <cell r="BB314">
            <v>0</v>
          </cell>
          <cell r="BH314">
            <v>0</v>
          </cell>
          <cell r="BI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U314">
            <v>0</v>
          </cell>
          <cell r="BV314">
            <v>0</v>
          </cell>
          <cell r="BW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N314">
            <v>0</v>
          </cell>
          <cell r="CO314">
            <v>0</v>
          </cell>
          <cell r="CP314">
            <v>0</v>
          </cell>
          <cell r="CS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L314">
            <v>0</v>
          </cell>
          <cell r="DM314">
            <v>0</v>
          </cell>
          <cell r="DO314">
            <v>0</v>
          </cell>
          <cell r="DQ314">
            <v>0</v>
          </cell>
          <cell r="DW314">
            <v>1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R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BA315">
            <v>0</v>
          </cell>
          <cell r="BB315">
            <v>0</v>
          </cell>
          <cell r="BH315">
            <v>0</v>
          </cell>
          <cell r="BI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U315">
            <v>0</v>
          </cell>
          <cell r="BV315">
            <v>0</v>
          </cell>
          <cell r="BW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N315">
            <v>0</v>
          </cell>
          <cell r="CO315">
            <v>0</v>
          </cell>
          <cell r="CP315">
            <v>0</v>
          </cell>
          <cell r="CS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L315">
            <v>0</v>
          </cell>
          <cell r="DM315">
            <v>0</v>
          </cell>
          <cell r="DO315">
            <v>0</v>
          </cell>
          <cell r="DQ315">
            <v>0</v>
          </cell>
          <cell r="DW315">
            <v>1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R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BA316">
            <v>0</v>
          </cell>
          <cell r="BB316">
            <v>0</v>
          </cell>
          <cell r="BH316">
            <v>0</v>
          </cell>
          <cell r="BI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U316">
            <v>0</v>
          </cell>
          <cell r="BV316">
            <v>0</v>
          </cell>
          <cell r="BW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N316">
            <v>0</v>
          </cell>
          <cell r="CO316">
            <v>0</v>
          </cell>
          <cell r="CP316">
            <v>0</v>
          </cell>
          <cell r="CS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L316">
            <v>0</v>
          </cell>
          <cell r="DM316">
            <v>0</v>
          </cell>
          <cell r="DO316">
            <v>0</v>
          </cell>
          <cell r="DQ316">
            <v>0</v>
          </cell>
          <cell r="DW316">
            <v>1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R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BA317">
            <v>0</v>
          </cell>
          <cell r="BB317">
            <v>0</v>
          </cell>
          <cell r="BH317">
            <v>0</v>
          </cell>
          <cell r="BI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U317">
            <v>0</v>
          </cell>
          <cell r="BV317">
            <v>0</v>
          </cell>
          <cell r="BW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N317">
            <v>0</v>
          </cell>
          <cell r="CO317">
            <v>0</v>
          </cell>
          <cell r="CP317">
            <v>0</v>
          </cell>
          <cell r="CS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L317">
            <v>0</v>
          </cell>
          <cell r="DM317">
            <v>0</v>
          </cell>
          <cell r="DO317">
            <v>0</v>
          </cell>
          <cell r="DQ317">
            <v>0</v>
          </cell>
          <cell r="DW317">
            <v>1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R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BA318">
            <v>0</v>
          </cell>
          <cell r="BB318">
            <v>0</v>
          </cell>
          <cell r="BH318">
            <v>0</v>
          </cell>
          <cell r="BI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U318">
            <v>0</v>
          </cell>
          <cell r="BV318">
            <v>0</v>
          </cell>
          <cell r="BW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N318">
            <v>0</v>
          </cell>
          <cell r="CO318">
            <v>0</v>
          </cell>
          <cell r="CP318">
            <v>0</v>
          </cell>
          <cell r="CS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L318">
            <v>0</v>
          </cell>
          <cell r="DM318">
            <v>0</v>
          </cell>
          <cell r="DO318">
            <v>0</v>
          </cell>
          <cell r="DQ318">
            <v>0</v>
          </cell>
          <cell r="DW318">
            <v>1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R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BA319">
            <v>0</v>
          </cell>
          <cell r="BB319">
            <v>0</v>
          </cell>
          <cell r="BH319">
            <v>0</v>
          </cell>
          <cell r="BI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U319">
            <v>0</v>
          </cell>
          <cell r="BV319">
            <v>0</v>
          </cell>
          <cell r="BW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N319">
            <v>0</v>
          </cell>
          <cell r="CO319">
            <v>0</v>
          </cell>
          <cell r="CP319">
            <v>0</v>
          </cell>
          <cell r="CS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L319">
            <v>0</v>
          </cell>
          <cell r="DM319">
            <v>0</v>
          </cell>
          <cell r="DO319">
            <v>0</v>
          </cell>
          <cell r="DQ319">
            <v>0</v>
          </cell>
          <cell r="DW319">
            <v>1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R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BA320">
            <v>0</v>
          </cell>
          <cell r="BB320">
            <v>0</v>
          </cell>
          <cell r="BH320">
            <v>0</v>
          </cell>
          <cell r="BI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U320">
            <v>0</v>
          </cell>
          <cell r="BV320">
            <v>0</v>
          </cell>
          <cell r="BW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N320">
            <v>0</v>
          </cell>
          <cell r="CO320">
            <v>0</v>
          </cell>
          <cell r="CP320">
            <v>0</v>
          </cell>
          <cell r="CS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L320">
            <v>0</v>
          </cell>
          <cell r="DM320">
            <v>0</v>
          </cell>
          <cell r="DO320">
            <v>0</v>
          </cell>
          <cell r="DQ320">
            <v>0</v>
          </cell>
          <cell r="DW320">
            <v>1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R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BA321">
            <v>0</v>
          </cell>
          <cell r="BB321">
            <v>0</v>
          </cell>
          <cell r="BH321">
            <v>0</v>
          </cell>
          <cell r="BI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U321">
            <v>0</v>
          </cell>
          <cell r="BV321">
            <v>0</v>
          </cell>
          <cell r="BW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N321">
            <v>0</v>
          </cell>
          <cell r="CO321">
            <v>0</v>
          </cell>
          <cell r="CP321">
            <v>0</v>
          </cell>
          <cell r="CS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L321">
            <v>0</v>
          </cell>
          <cell r="DM321">
            <v>0</v>
          </cell>
          <cell r="DO321">
            <v>0</v>
          </cell>
          <cell r="DQ321">
            <v>0</v>
          </cell>
          <cell r="DW321">
            <v>2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R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BA322">
            <v>0</v>
          </cell>
          <cell r="BB322">
            <v>0</v>
          </cell>
          <cell r="BH322">
            <v>0</v>
          </cell>
          <cell r="BI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U322">
            <v>0</v>
          </cell>
          <cell r="BV322">
            <v>0</v>
          </cell>
          <cell r="BW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N322">
            <v>0</v>
          </cell>
          <cell r="CO322">
            <v>0</v>
          </cell>
          <cell r="CP322">
            <v>0</v>
          </cell>
          <cell r="CS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L322">
            <v>0</v>
          </cell>
          <cell r="DM322">
            <v>0</v>
          </cell>
          <cell r="DO322">
            <v>0</v>
          </cell>
          <cell r="DQ322">
            <v>0</v>
          </cell>
          <cell r="DW322">
            <v>1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R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BA323">
            <v>0</v>
          </cell>
          <cell r="BB323">
            <v>0</v>
          </cell>
          <cell r="BH323">
            <v>0</v>
          </cell>
          <cell r="BI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U323">
            <v>0</v>
          </cell>
          <cell r="BV323">
            <v>0</v>
          </cell>
          <cell r="BW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N323">
            <v>0</v>
          </cell>
          <cell r="CO323">
            <v>0</v>
          </cell>
          <cell r="CP323">
            <v>0</v>
          </cell>
          <cell r="CS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L323">
            <v>0</v>
          </cell>
          <cell r="DM323">
            <v>0</v>
          </cell>
          <cell r="DO323">
            <v>0</v>
          </cell>
          <cell r="DQ323">
            <v>0</v>
          </cell>
          <cell r="DW323">
            <v>1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R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BA324">
            <v>0</v>
          </cell>
          <cell r="BB324">
            <v>0</v>
          </cell>
          <cell r="BH324">
            <v>0</v>
          </cell>
          <cell r="BI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U324">
            <v>0</v>
          </cell>
          <cell r="BV324">
            <v>0</v>
          </cell>
          <cell r="BW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N324">
            <v>0</v>
          </cell>
          <cell r="CO324">
            <v>0</v>
          </cell>
          <cell r="CP324">
            <v>0</v>
          </cell>
          <cell r="CS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L324">
            <v>0</v>
          </cell>
          <cell r="DM324">
            <v>0</v>
          </cell>
          <cell r="DO324">
            <v>0</v>
          </cell>
          <cell r="DQ324">
            <v>0</v>
          </cell>
          <cell r="DW324">
            <v>1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R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BA325">
            <v>0</v>
          </cell>
          <cell r="BB325">
            <v>0</v>
          </cell>
          <cell r="BH325">
            <v>0</v>
          </cell>
          <cell r="BI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U325">
            <v>0</v>
          </cell>
          <cell r="BV325">
            <v>0</v>
          </cell>
          <cell r="BW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N325">
            <v>0</v>
          </cell>
          <cell r="CO325">
            <v>0</v>
          </cell>
          <cell r="CP325">
            <v>0</v>
          </cell>
          <cell r="CS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L325">
            <v>0</v>
          </cell>
          <cell r="DM325">
            <v>0</v>
          </cell>
          <cell r="DO325">
            <v>0</v>
          </cell>
          <cell r="DQ325">
            <v>0</v>
          </cell>
          <cell r="DW325">
            <v>1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R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BA326">
            <v>0</v>
          </cell>
          <cell r="BB326">
            <v>0</v>
          </cell>
          <cell r="BH326">
            <v>0</v>
          </cell>
          <cell r="BI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U326">
            <v>0</v>
          </cell>
          <cell r="BV326">
            <v>0</v>
          </cell>
          <cell r="BW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N326">
            <v>0</v>
          </cell>
          <cell r="CO326">
            <v>0</v>
          </cell>
          <cell r="CP326">
            <v>0</v>
          </cell>
          <cell r="CS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L326">
            <v>0</v>
          </cell>
          <cell r="DM326">
            <v>0</v>
          </cell>
          <cell r="DO326">
            <v>0</v>
          </cell>
          <cell r="DQ326">
            <v>0</v>
          </cell>
          <cell r="DW326">
            <v>1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R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BA327">
            <v>0</v>
          </cell>
          <cell r="BB327">
            <v>0</v>
          </cell>
          <cell r="BH327">
            <v>0</v>
          </cell>
          <cell r="BI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U327">
            <v>0</v>
          </cell>
          <cell r="BV327">
            <v>0</v>
          </cell>
          <cell r="BW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N327">
            <v>0</v>
          </cell>
          <cell r="CO327">
            <v>0</v>
          </cell>
          <cell r="CP327">
            <v>0</v>
          </cell>
          <cell r="CS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L327">
            <v>0</v>
          </cell>
          <cell r="DM327">
            <v>0</v>
          </cell>
          <cell r="DO327">
            <v>0</v>
          </cell>
          <cell r="DQ327">
            <v>0</v>
          </cell>
          <cell r="DW327">
            <v>1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R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BA328">
            <v>0</v>
          </cell>
          <cell r="BB328">
            <v>0</v>
          </cell>
          <cell r="BH328">
            <v>0</v>
          </cell>
          <cell r="BI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U328">
            <v>0</v>
          </cell>
          <cell r="BV328">
            <v>0</v>
          </cell>
          <cell r="BW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N328">
            <v>0</v>
          </cell>
          <cell r="CO328">
            <v>0</v>
          </cell>
          <cell r="CP328">
            <v>0</v>
          </cell>
          <cell r="CS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L328">
            <v>0</v>
          </cell>
          <cell r="DM328">
            <v>0</v>
          </cell>
          <cell r="DO328">
            <v>0</v>
          </cell>
          <cell r="DQ328">
            <v>0</v>
          </cell>
          <cell r="DW328">
            <v>1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</row>
        <row r="329"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R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U329">
            <v>5</v>
          </cell>
          <cell r="AV329">
            <v>5</v>
          </cell>
          <cell r="AW329">
            <v>0</v>
          </cell>
          <cell r="AX329">
            <v>0</v>
          </cell>
          <cell r="AY329">
            <v>0</v>
          </cell>
          <cell r="BA329">
            <v>0</v>
          </cell>
          <cell r="BB329">
            <v>0</v>
          </cell>
          <cell r="BH329">
            <v>0</v>
          </cell>
          <cell r="BI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2</v>
          </cell>
          <cell r="BS329">
            <v>0</v>
          </cell>
          <cell r="BU329">
            <v>0</v>
          </cell>
          <cell r="BV329">
            <v>0</v>
          </cell>
          <cell r="BW329">
            <v>2</v>
          </cell>
          <cell r="BZ329">
            <v>0</v>
          </cell>
          <cell r="CA329">
            <v>0</v>
          </cell>
          <cell r="CB329">
            <v>2</v>
          </cell>
          <cell r="CC329">
            <v>0</v>
          </cell>
          <cell r="CD329">
            <v>0</v>
          </cell>
          <cell r="CE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N329">
            <v>0</v>
          </cell>
          <cell r="CO329">
            <v>0</v>
          </cell>
          <cell r="CP329">
            <v>0</v>
          </cell>
          <cell r="CS329">
            <v>0</v>
          </cell>
          <cell r="CU329">
            <v>2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L329">
            <v>0</v>
          </cell>
          <cell r="DM329">
            <v>0</v>
          </cell>
          <cell r="DO329">
            <v>0</v>
          </cell>
          <cell r="DQ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R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BA330">
            <v>0</v>
          </cell>
          <cell r="BB330">
            <v>0</v>
          </cell>
          <cell r="BH330">
            <v>0</v>
          </cell>
          <cell r="BI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3</v>
          </cell>
          <cell r="BS330">
            <v>0</v>
          </cell>
          <cell r="BU330">
            <v>0</v>
          </cell>
          <cell r="BV330">
            <v>0</v>
          </cell>
          <cell r="BW330">
            <v>6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N330">
            <v>0</v>
          </cell>
          <cell r="CO330">
            <v>0</v>
          </cell>
          <cell r="CP330">
            <v>0</v>
          </cell>
          <cell r="CS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L330">
            <v>0</v>
          </cell>
          <cell r="DM330">
            <v>0</v>
          </cell>
          <cell r="DO330">
            <v>0</v>
          </cell>
          <cell r="DQ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R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BA331">
            <v>0</v>
          </cell>
          <cell r="BB331">
            <v>0</v>
          </cell>
          <cell r="BH331">
            <v>0</v>
          </cell>
          <cell r="BI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U331">
            <v>0</v>
          </cell>
          <cell r="BV331">
            <v>0</v>
          </cell>
          <cell r="BW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N331">
            <v>0</v>
          </cell>
          <cell r="CO331">
            <v>0</v>
          </cell>
          <cell r="CP331">
            <v>0</v>
          </cell>
          <cell r="CS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L331">
            <v>0</v>
          </cell>
          <cell r="DM331">
            <v>0</v>
          </cell>
          <cell r="DO331">
            <v>0</v>
          </cell>
          <cell r="DQ331">
            <v>0</v>
          </cell>
          <cell r="DW331">
            <v>2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R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BA332">
            <v>0</v>
          </cell>
          <cell r="BB332">
            <v>0</v>
          </cell>
          <cell r="BH332">
            <v>0</v>
          </cell>
          <cell r="BI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U332">
            <v>0</v>
          </cell>
          <cell r="BV332">
            <v>0</v>
          </cell>
          <cell r="BW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H332">
            <v>0</v>
          </cell>
          <cell r="CI332">
            <v>4</v>
          </cell>
          <cell r="CJ332">
            <v>4</v>
          </cell>
          <cell r="CK332">
            <v>0</v>
          </cell>
          <cell r="CN332">
            <v>0</v>
          </cell>
          <cell r="CO332">
            <v>0</v>
          </cell>
          <cell r="CP332">
            <v>0</v>
          </cell>
          <cell r="CS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L332">
            <v>0</v>
          </cell>
          <cell r="DM332">
            <v>0</v>
          </cell>
          <cell r="DO332">
            <v>0</v>
          </cell>
          <cell r="DQ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R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BA333">
            <v>0</v>
          </cell>
          <cell r="BB333">
            <v>0</v>
          </cell>
          <cell r="BH333">
            <v>0</v>
          </cell>
          <cell r="BI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U333">
            <v>0</v>
          </cell>
          <cell r="BV333">
            <v>0</v>
          </cell>
          <cell r="BW333">
            <v>0</v>
          </cell>
          <cell r="BZ333">
            <v>1</v>
          </cell>
          <cell r="CA333">
            <v>0</v>
          </cell>
          <cell r="CB333">
            <v>1</v>
          </cell>
          <cell r="CC333">
            <v>0</v>
          </cell>
          <cell r="CD333">
            <v>0</v>
          </cell>
          <cell r="CE333">
            <v>0</v>
          </cell>
          <cell r="CH333">
            <v>0</v>
          </cell>
          <cell r="CI333">
            <v>9</v>
          </cell>
          <cell r="CJ333">
            <v>5</v>
          </cell>
          <cell r="CK333">
            <v>0</v>
          </cell>
          <cell r="CN333">
            <v>0</v>
          </cell>
          <cell r="CO333">
            <v>0</v>
          </cell>
          <cell r="CP333">
            <v>0</v>
          </cell>
          <cell r="CS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L333">
            <v>0</v>
          </cell>
          <cell r="DM333">
            <v>0</v>
          </cell>
          <cell r="DO333">
            <v>0</v>
          </cell>
          <cell r="DQ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R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BA334">
            <v>0</v>
          </cell>
          <cell r="BB334">
            <v>0</v>
          </cell>
          <cell r="BH334">
            <v>0</v>
          </cell>
          <cell r="BI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U334">
            <v>0</v>
          </cell>
          <cell r="BV334">
            <v>0</v>
          </cell>
          <cell r="BW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N334">
            <v>0</v>
          </cell>
          <cell r="CO334">
            <v>0</v>
          </cell>
          <cell r="CP334">
            <v>0</v>
          </cell>
          <cell r="CS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L334">
            <v>0</v>
          </cell>
          <cell r="DM334">
            <v>0</v>
          </cell>
          <cell r="DO334">
            <v>0</v>
          </cell>
          <cell r="DQ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R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BA335">
            <v>0</v>
          </cell>
          <cell r="BB335">
            <v>0</v>
          </cell>
          <cell r="BH335">
            <v>0</v>
          </cell>
          <cell r="BI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U335">
            <v>0</v>
          </cell>
          <cell r="BV335">
            <v>0</v>
          </cell>
          <cell r="BW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H335">
            <v>0</v>
          </cell>
          <cell r="CI335">
            <v>8</v>
          </cell>
          <cell r="CJ335">
            <v>4</v>
          </cell>
          <cell r="CK335">
            <v>0</v>
          </cell>
          <cell r="CN335">
            <v>0</v>
          </cell>
          <cell r="CO335">
            <v>0</v>
          </cell>
          <cell r="CP335">
            <v>0</v>
          </cell>
          <cell r="CS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L335">
            <v>0</v>
          </cell>
          <cell r="DM335">
            <v>0</v>
          </cell>
          <cell r="DO335">
            <v>0</v>
          </cell>
          <cell r="DQ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</row>
        <row r="336"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R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BA336">
            <v>0</v>
          </cell>
          <cell r="BB336">
            <v>0</v>
          </cell>
          <cell r="BH336">
            <v>0</v>
          </cell>
          <cell r="BI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2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U336">
            <v>0</v>
          </cell>
          <cell r="BV336">
            <v>0</v>
          </cell>
          <cell r="BW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H336">
            <v>0</v>
          </cell>
          <cell r="CI336">
            <v>0</v>
          </cell>
          <cell r="CJ336">
            <v>4</v>
          </cell>
          <cell r="CK336">
            <v>0</v>
          </cell>
          <cell r="CN336">
            <v>0</v>
          </cell>
          <cell r="CO336">
            <v>0</v>
          </cell>
          <cell r="CP336">
            <v>0</v>
          </cell>
          <cell r="CS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L336">
            <v>0</v>
          </cell>
          <cell r="DM336">
            <v>0</v>
          </cell>
          <cell r="DO336">
            <v>0</v>
          </cell>
          <cell r="DQ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R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BA337">
            <v>0</v>
          </cell>
          <cell r="BB337">
            <v>0</v>
          </cell>
          <cell r="BH337">
            <v>0</v>
          </cell>
          <cell r="BI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U337">
            <v>0</v>
          </cell>
          <cell r="BV337">
            <v>0</v>
          </cell>
          <cell r="BW337">
            <v>2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N337">
            <v>0</v>
          </cell>
          <cell r="CO337">
            <v>0</v>
          </cell>
          <cell r="CP337">
            <v>0</v>
          </cell>
          <cell r="CS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L337">
            <v>0</v>
          </cell>
          <cell r="DM337">
            <v>0</v>
          </cell>
          <cell r="DO337">
            <v>0</v>
          </cell>
          <cell r="DQ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R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BA338">
            <v>0</v>
          </cell>
          <cell r="BB338">
            <v>0</v>
          </cell>
          <cell r="BH338">
            <v>0</v>
          </cell>
          <cell r="BI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U338">
            <v>0</v>
          </cell>
          <cell r="BV338">
            <v>0</v>
          </cell>
          <cell r="BW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N338">
            <v>0</v>
          </cell>
          <cell r="CO338">
            <v>0</v>
          </cell>
          <cell r="CP338">
            <v>2</v>
          </cell>
          <cell r="CS338">
            <v>2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2</v>
          </cell>
          <cell r="CZ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L338">
            <v>2</v>
          </cell>
          <cell r="DM338">
            <v>2</v>
          </cell>
          <cell r="DO338">
            <v>0</v>
          </cell>
          <cell r="DQ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R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BA339">
            <v>0</v>
          </cell>
          <cell r="BB339">
            <v>0</v>
          </cell>
          <cell r="BH339">
            <v>0</v>
          </cell>
          <cell r="BI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U339">
            <v>2</v>
          </cell>
          <cell r="BV339">
            <v>2</v>
          </cell>
          <cell r="BW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2</v>
          </cell>
          <cell r="CD339">
            <v>0</v>
          </cell>
          <cell r="CE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N339">
            <v>0</v>
          </cell>
          <cell r="CO339">
            <v>0</v>
          </cell>
          <cell r="CP339">
            <v>0</v>
          </cell>
          <cell r="CS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L339">
            <v>0</v>
          </cell>
          <cell r="DM339">
            <v>0</v>
          </cell>
          <cell r="DO339">
            <v>0</v>
          </cell>
          <cell r="DQ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R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BA340">
            <v>0</v>
          </cell>
          <cell r="BB340">
            <v>0</v>
          </cell>
          <cell r="BH340">
            <v>0</v>
          </cell>
          <cell r="BI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U340">
            <v>0</v>
          </cell>
          <cell r="BV340">
            <v>0</v>
          </cell>
          <cell r="BW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2</v>
          </cell>
          <cell r="CE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N340">
            <v>0</v>
          </cell>
          <cell r="CO340">
            <v>0</v>
          </cell>
          <cell r="CP340">
            <v>0</v>
          </cell>
          <cell r="CS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L340">
            <v>0</v>
          </cell>
          <cell r="DM340">
            <v>0</v>
          </cell>
          <cell r="DO340">
            <v>0</v>
          </cell>
          <cell r="DQ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R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BA341">
            <v>0</v>
          </cell>
          <cell r="BB341">
            <v>0</v>
          </cell>
          <cell r="BH341">
            <v>0</v>
          </cell>
          <cell r="BI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2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U341">
            <v>0</v>
          </cell>
          <cell r="BV341">
            <v>0</v>
          </cell>
          <cell r="BW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N341">
            <v>0</v>
          </cell>
          <cell r="CO341">
            <v>0</v>
          </cell>
          <cell r="CP341">
            <v>0</v>
          </cell>
          <cell r="CS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L341">
            <v>0</v>
          </cell>
          <cell r="DM341">
            <v>0</v>
          </cell>
          <cell r="DO341">
            <v>0</v>
          </cell>
          <cell r="DQ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2</v>
          </cell>
          <cell r="R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U342">
            <v>0</v>
          </cell>
          <cell r="AV342">
            <v>0</v>
          </cell>
          <cell r="AW342">
            <v>2</v>
          </cell>
          <cell r="AX342">
            <v>0</v>
          </cell>
          <cell r="AY342">
            <v>0</v>
          </cell>
          <cell r="BA342">
            <v>0</v>
          </cell>
          <cell r="BB342">
            <v>0</v>
          </cell>
          <cell r="BH342">
            <v>0</v>
          </cell>
          <cell r="BI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U342">
            <v>0</v>
          </cell>
          <cell r="BV342">
            <v>0</v>
          </cell>
          <cell r="BW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N342">
            <v>0</v>
          </cell>
          <cell r="CO342">
            <v>0</v>
          </cell>
          <cell r="CP342">
            <v>0</v>
          </cell>
          <cell r="CS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L342">
            <v>0</v>
          </cell>
          <cell r="DM342">
            <v>0</v>
          </cell>
          <cell r="DO342">
            <v>0</v>
          </cell>
          <cell r="DQ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R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BA343">
            <v>0</v>
          </cell>
          <cell r="BB343">
            <v>0</v>
          </cell>
          <cell r="BH343">
            <v>0</v>
          </cell>
          <cell r="BI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U343">
            <v>0</v>
          </cell>
          <cell r="BV343">
            <v>0</v>
          </cell>
          <cell r="BW343">
            <v>1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N343">
            <v>0</v>
          </cell>
          <cell r="CO343">
            <v>0</v>
          </cell>
          <cell r="CP343">
            <v>0</v>
          </cell>
          <cell r="CS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L343">
            <v>0</v>
          </cell>
          <cell r="DM343">
            <v>0</v>
          </cell>
          <cell r="DO343">
            <v>0</v>
          </cell>
          <cell r="DQ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R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BA344">
            <v>0</v>
          </cell>
          <cell r="BB344">
            <v>0</v>
          </cell>
          <cell r="BH344">
            <v>0</v>
          </cell>
          <cell r="BI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U344">
            <v>0</v>
          </cell>
          <cell r="BV344">
            <v>0</v>
          </cell>
          <cell r="BW344">
            <v>1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N344">
            <v>0</v>
          </cell>
          <cell r="CO344">
            <v>0</v>
          </cell>
          <cell r="CP344">
            <v>0</v>
          </cell>
          <cell r="CS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L344">
            <v>0</v>
          </cell>
          <cell r="DM344">
            <v>0</v>
          </cell>
          <cell r="DO344">
            <v>0</v>
          </cell>
          <cell r="DQ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1</v>
          </cell>
          <cell r="R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U345">
            <v>0</v>
          </cell>
          <cell r="AV345">
            <v>0</v>
          </cell>
          <cell r="AW345">
            <v>1</v>
          </cell>
          <cell r="AX345">
            <v>0</v>
          </cell>
          <cell r="AY345">
            <v>0</v>
          </cell>
          <cell r="BA345">
            <v>0</v>
          </cell>
          <cell r="BB345">
            <v>0</v>
          </cell>
          <cell r="BH345">
            <v>0</v>
          </cell>
          <cell r="BI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U345">
            <v>0</v>
          </cell>
          <cell r="BV345">
            <v>0</v>
          </cell>
          <cell r="BW345">
            <v>1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N345">
            <v>0</v>
          </cell>
          <cell r="CO345">
            <v>0</v>
          </cell>
          <cell r="CP345">
            <v>0</v>
          </cell>
          <cell r="CS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L345">
            <v>0</v>
          </cell>
          <cell r="DM345">
            <v>0</v>
          </cell>
          <cell r="DO345">
            <v>0</v>
          </cell>
          <cell r="DQ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5</v>
          </cell>
          <cell r="I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R346">
            <v>0</v>
          </cell>
          <cell r="V346">
            <v>0</v>
          </cell>
          <cell r="W346">
            <v>1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U346">
            <v>4</v>
          </cell>
          <cell r="AV346">
            <v>5</v>
          </cell>
          <cell r="AW346">
            <v>0</v>
          </cell>
          <cell r="AX346">
            <v>0</v>
          </cell>
          <cell r="AY346">
            <v>0</v>
          </cell>
          <cell r="BA346">
            <v>0</v>
          </cell>
          <cell r="BB346">
            <v>0</v>
          </cell>
          <cell r="BH346">
            <v>0</v>
          </cell>
          <cell r="BI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U346">
            <v>12</v>
          </cell>
          <cell r="BV346">
            <v>16</v>
          </cell>
          <cell r="BW346">
            <v>13</v>
          </cell>
          <cell r="BZ346">
            <v>4</v>
          </cell>
          <cell r="CA346">
            <v>0</v>
          </cell>
          <cell r="CB346">
            <v>4</v>
          </cell>
          <cell r="CC346">
            <v>10</v>
          </cell>
          <cell r="CD346">
            <v>0</v>
          </cell>
          <cell r="CE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N346">
            <v>0</v>
          </cell>
          <cell r="CO346">
            <v>0</v>
          </cell>
          <cell r="CP346">
            <v>0</v>
          </cell>
          <cell r="CS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L346">
            <v>0</v>
          </cell>
          <cell r="DM346">
            <v>0</v>
          </cell>
          <cell r="DO346">
            <v>0</v>
          </cell>
          <cell r="DQ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8</v>
          </cell>
          <cell r="R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U347">
            <v>0</v>
          </cell>
          <cell r="AV347">
            <v>0</v>
          </cell>
          <cell r="AW347">
            <v>6</v>
          </cell>
          <cell r="AX347">
            <v>0</v>
          </cell>
          <cell r="AY347">
            <v>0</v>
          </cell>
          <cell r="BA347">
            <v>0</v>
          </cell>
          <cell r="BB347">
            <v>0</v>
          </cell>
          <cell r="BH347">
            <v>0</v>
          </cell>
          <cell r="BI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U347">
            <v>0</v>
          </cell>
          <cell r="BV347">
            <v>0</v>
          </cell>
          <cell r="BW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N347">
            <v>0</v>
          </cell>
          <cell r="CO347">
            <v>0</v>
          </cell>
          <cell r="CP347">
            <v>0</v>
          </cell>
          <cell r="CS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L347">
            <v>0</v>
          </cell>
          <cell r="DM347">
            <v>0</v>
          </cell>
          <cell r="DO347">
            <v>0</v>
          </cell>
          <cell r="DQ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</row>
        <row r="348"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1</v>
          </cell>
          <cell r="R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U348">
            <v>0</v>
          </cell>
          <cell r="AV348">
            <v>0</v>
          </cell>
          <cell r="AW348">
            <v>1</v>
          </cell>
          <cell r="AX348">
            <v>0</v>
          </cell>
          <cell r="AY348">
            <v>0</v>
          </cell>
          <cell r="BA348">
            <v>0</v>
          </cell>
          <cell r="BB348">
            <v>0</v>
          </cell>
          <cell r="BH348">
            <v>0</v>
          </cell>
          <cell r="BI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U348">
            <v>0</v>
          </cell>
          <cell r="BV348">
            <v>0</v>
          </cell>
          <cell r="BW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N348">
            <v>0</v>
          </cell>
          <cell r="CO348">
            <v>0</v>
          </cell>
          <cell r="CP348">
            <v>0</v>
          </cell>
          <cell r="CS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L348">
            <v>0</v>
          </cell>
          <cell r="DM348">
            <v>0</v>
          </cell>
          <cell r="DO348">
            <v>0</v>
          </cell>
          <cell r="DQ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</row>
        <row r="349"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R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BA349">
            <v>0</v>
          </cell>
          <cell r="BB349">
            <v>0</v>
          </cell>
          <cell r="BH349">
            <v>0</v>
          </cell>
          <cell r="BI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U349">
            <v>0</v>
          </cell>
          <cell r="BV349">
            <v>2</v>
          </cell>
          <cell r="BW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5</v>
          </cell>
          <cell r="CE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N349">
            <v>0</v>
          </cell>
          <cell r="CO349">
            <v>0</v>
          </cell>
          <cell r="CP349">
            <v>0</v>
          </cell>
          <cell r="CS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L349">
            <v>0</v>
          </cell>
          <cell r="DM349">
            <v>0</v>
          </cell>
          <cell r="DO349">
            <v>0</v>
          </cell>
          <cell r="DQ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</row>
        <row r="350"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R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6</v>
          </cell>
          <cell r="AY350">
            <v>0</v>
          </cell>
          <cell r="BA350">
            <v>0</v>
          </cell>
          <cell r="BB350">
            <v>0</v>
          </cell>
          <cell r="BH350">
            <v>0</v>
          </cell>
          <cell r="BI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U350">
            <v>0</v>
          </cell>
          <cell r="BV350">
            <v>0</v>
          </cell>
          <cell r="BW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N350">
            <v>0</v>
          </cell>
          <cell r="CO350">
            <v>0</v>
          </cell>
          <cell r="CP350">
            <v>0</v>
          </cell>
          <cell r="CS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L350">
            <v>0</v>
          </cell>
          <cell r="DM350">
            <v>0</v>
          </cell>
          <cell r="DO350">
            <v>0</v>
          </cell>
          <cell r="DQ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</row>
        <row r="351"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R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BA351">
            <v>0</v>
          </cell>
          <cell r="BB351">
            <v>0</v>
          </cell>
          <cell r="BH351">
            <v>0</v>
          </cell>
          <cell r="BI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U351">
            <v>0</v>
          </cell>
          <cell r="BV351">
            <v>0</v>
          </cell>
          <cell r="BW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N351">
            <v>0</v>
          </cell>
          <cell r="CO351">
            <v>0</v>
          </cell>
          <cell r="CP351">
            <v>0</v>
          </cell>
          <cell r="CS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L351">
            <v>0</v>
          </cell>
          <cell r="DM351">
            <v>0</v>
          </cell>
          <cell r="DO351">
            <v>0</v>
          </cell>
          <cell r="DQ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</row>
        <row r="352"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R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BA352">
            <v>0</v>
          </cell>
          <cell r="BB352">
            <v>0</v>
          </cell>
          <cell r="BH352">
            <v>0</v>
          </cell>
          <cell r="BI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U352">
            <v>0</v>
          </cell>
          <cell r="BV352">
            <v>0</v>
          </cell>
          <cell r="BW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N352">
            <v>0</v>
          </cell>
          <cell r="CO352">
            <v>3</v>
          </cell>
          <cell r="CP352">
            <v>0</v>
          </cell>
          <cell r="CS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1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L352">
            <v>0</v>
          </cell>
          <cell r="DM352">
            <v>0</v>
          </cell>
          <cell r="DO352">
            <v>0</v>
          </cell>
          <cell r="DQ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</row>
        <row r="353"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R353">
            <v>0</v>
          </cell>
          <cell r="V353">
            <v>0</v>
          </cell>
          <cell r="W353">
            <v>18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BA353">
            <v>0</v>
          </cell>
          <cell r="BB353">
            <v>0</v>
          </cell>
          <cell r="BH353">
            <v>0</v>
          </cell>
          <cell r="BI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U353">
            <v>0</v>
          </cell>
          <cell r="BV353">
            <v>0</v>
          </cell>
          <cell r="BW353">
            <v>0</v>
          </cell>
          <cell r="BZ353">
            <v>28</v>
          </cell>
          <cell r="CA353">
            <v>0</v>
          </cell>
          <cell r="CB353">
            <v>35</v>
          </cell>
          <cell r="CC353">
            <v>0</v>
          </cell>
          <cell r="CD353">
            <v>0</v>
          </cell>
          <cell r="CE353">
            <v>4</v>
          </cell>
          <cell r="CH353">
            <v>0</v>
          </cell>
          <cell r="CI353">
            <v>17</v>
          </cell>
          <cell r="CJ353">
            <v>17</v>
          </cell>
          <cell r="CK353">
            <v>0</v>
          </cell>
          <cell r="CN353">
            <v>0</v>
          </cell>
          <cell r="CO353">
            <v>25</v>
          </cell>
          <cell r="CP353">
            <v>18</v>
          </cell>
          <cell r="CS353">
            <v>18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18</v>
          </cell>
          <cell r="CZ353">
            <v>37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L353">
            <v>21</v>
          </cell>
          <cell r="DM353">
            <v>17</v>
          </cell>
          <cell r="DO353">
            <v>0</v>
          </cell>
          <cell r="DQ353">
            <v>0</v>
          </cell>
          <cell r="DW353">
            <v>0</v>
          </cell>
          <cell r="DX353">
            <v>1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</row>
        <row r="354"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R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BA354">
            <v>0</v>
          </cell>
          <cell r="BB354">
            <v>0</v>
          </cell>
          <cell r="BH354">
            <v>0</v>
          </cell>
          <cell r="BI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U354">
            <v>0</v>
          </cell>
          <cell r="BV354">
            <v>1</v>
          </cell>
          <cell r="BW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1</v>
          </cell>
          <cell r="CE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N354">
            <v>0</v>
          </cell>
          <cell r="CO354">
            <v>0</v>
          </cell>
          <cell r="CP354">
            <v>0</v>
          </cell>
          <cell r="CS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L354">
            <v>0</v>
          </cell>
          <cell r="DM354">
            <v>0</v>
          </cell>
          <cell r="DO354">
            <v>0</v>
          </cell>
          <cell r="DQ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</row>
        <row r="355"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R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1</v>
          </cell>
          <cell r="BA355">
            <v>0</v>
          </cell>
          <cell r="BB355">
            <v>0</v>
          </cell>
          <cell r="BH355">
            <v>0</v>
          </cell>
          <cell r="BI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U355">
            <v>0</v>
          </cell>
          <cell r="BV355">
            <v>0</v>
          </cell>
          <cell r="BW355">
            <v>1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N355">
            <v>0</v>
          </cell>
          <cell r="CO355">
            <v>0</v>
          </cell>
          <cell r="CP355">
            <v>0</v>
          </cell>
          <cell r="CS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L355">
            <v>0</v>
          </cell>
          <cell r="DM355">
            <v>0</v>
          </cell>
          <cell r="DO355">
            <v>0</v>
          </cell>
          <cell r="DQ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</row>
        <row r="356"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R356">
            <v>0</v>
          </cell>
          <cell r="V356">
            <v>0</v>
          </cell>
          <cell r="W356">
            <v>4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BA356">
            <v>0</v>
          </cell>
          <cell r="BB356">
            <v>0</v>
          </cell>
          <cell r="BH356">
            <v>0</v>
          </cell>
          <cell r="BI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U356">
            <v>0</v>
          </cell>
          <cell r="BV356">
            <v>0</v>
          </cell>
          <cell r="BW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N356">
            <v>0</v>
          </cell>
          <cell r="CO356">
            <v>0</v>
          </cell>
          <cell r="CP356">
            <v>0</v>
          </cell>
          <cell r="CS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L356">
            <v>0</v>
          </cell>
          <cell r="DM356">
            <v>0</v>
          </cell>
          <cell r="DO356">
            <v>0</v>
          </cell>
          <cell r="DQ356">
            <v>4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</row>
        <row r="357"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R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BA357">
            <v>0</v>
          </cell>
          <cell r="BB357">
            <v>0</v>
          </cell>
          <cell r="BH357">
            <v>0</v>
          </cell>
          <cell r="BI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U357">
            <v>0</v>
          </cell>
          <cell r="BV357">
            <v>0</v>
          </cell>
          <cell r="BW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N357">
            <v>0</v>
          </cell>
          <cell r="CO357">
            <v>0</v>
          </cell>
          <cell r="CP357">
            <v>0</v>
          </cell>
          <cell r="CS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L357">
            <v>0</v>
          </cell>
          <cell r="DM357">
            <v>0</v>
          </cell>
          <cell r="DO357">
            <v>0</v>
          </cell>
          <cell r="DQ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</row>
        <row r="358"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R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BA358">
            <v>0</v>
          </cell>
          <cell r="BB358">
            <v>0</v>
          </cell>
          <cell r="BH358">
            <v>0</v>
          </cell>
          <cell r="BI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U358">
            <v>0</v>
          </cell>
          <cell r="BV358">
            <v>0</v>
          </cell>
          <cell r="BW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N358">
            <v>0</v>
          </cell>
          <cell r="CO358">
            <v>0</v>
          </cell>
          <cell r="CP358">
            <v>0</v>
          </cell>
          <cell r="CS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L358">
            <v>0</v>
          </cell>
          <cell r="DM358">
            <v>0</v>
          </cell>
          <cell r="DO358">
            <v>0</v>
          </cell>
          <cell r="DQ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</row>
        <row r="359"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R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BA359">
            <v>0</v>
          </cell>
          <cell r="BB359">
            <v>0</v>
          </cell>
          <cell r="BH359">
            <v>0</v>
          </cell>
          <cell r="BI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U359">
            <v>0</v>
          </cell>
          <cell r="BV359">
            <v>0</v>
          </cell>
          <cell r="BW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N359">
            <v>0</v>
          </cell>
          <cell r="CO359">
            <v>0</v>
          </cell>
          <cell r="CP359">
            <v>0</v>
          </cell>
          <cell r="CS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L359">
            <v>0</v>
          </cell>
          <cell r="DM359">
            <v>0</v>
          </cell>
          <cell r="DO359">
            <v>0</v>
          </cell>
          <cell r="DQ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</row>
        <row r="360"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R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BA360">
            <v>4</v>
          </cell>
          <cell r="BB360">
            <v>4</v>
          </cell>
          <cell r="BH360">
            <v>0</v>
          </cell>
          <cell r="BI360">
            <v>0</v>
          </cell>
          <cell r="BL360">
            <v>4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U360">
            <v>0</v>
          </cell>
          <cell r="BV360">
            <v>0</v>
          </cell>
          <cell r="BW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N360">
            <v>0</v>
          </cell>
          <cell r="CO360">
            <v>0</v>
          </cell>
          <cell r="CP360">
            <v>0</v>
          </cell>
          <cell r="CS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L360">
            <v>0</v>
          </cell>
          <cell r="DM360">
            <v>0</v>
          </cell>
          <cell r="DO360">
            <v>0</v>
          </cell>
          <cell r="DQ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</row>
        <row r="361"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R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BA361">
            <v>0</v>
          </cell>
          <cell r="BB361">
            <v>0</v>
          </cell>
          <cell r="BH361">
            <v>0</v>
          </cell>
          <cell r="BI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U361">
            <v>0</v>
          </cell>
          <cell r="BV361">
            <v>0</v>
          </cell>
          <cell r="BW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N361">
            <v>0</v>
          </cell>
          <cell r="CO361">
            <v>0</v>
          </cell>
          <cell r="CP361">
            <v>0</v>
          </cell>
          <cell r="CS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L361">
            <v>0</v>
          </cell>
          <cell r="DM361">
            <v>0</v>
          </cell>
          <cell r="DO361">
            <v>0</v>
          </cell>
          <cell r="DQ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0</v>
          </cell>
          <cell r="H362">
            <v>0</v>
          </cell>
          <cell r="I362">
            <v>1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R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1</v>
          </cell>
          <cell r="AK362">
            <v>0</v>
          </cell>
          <cell r="AL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1</v>
          </cell>
          <cell r="AR362">
            <v>0</v>
          </cell>
          <cell r="AS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BA362">
            <v>0</v>
          </cell>
          <cell r="BB362">
            <v>0</v>
          </cell>
          <cell r="BH362">
            <v>0</v>
          </cell>
          <cell r="BI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U362">
            <v>0</v>
          </cell>
          <cell r="BV362">
            <v>0</v>
          </cell>
          <cell r="BW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N362">
            <v>0</v>
          </cell>
          <cell r="CO362">
            <v>0</v>
          </cell>
          <cell r="CP362">
            <v>0</v>
          </cell>
          <cell r="CS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L362">
            <v>0</v>
          </cell>
          <cell r="DM362">
            <v>0</v>
          </cell>
          <cell r="DO362">
            <v>0</v>
          </cell>
          <cell r="DQ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</row>
        <row r="363"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R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BA363">
            <v>0</v>
          </cell>
          <cell r="BB363">
            <v>0</v>
          </cell>
          <cell r="BH363">
            <v>0</v>
          </cell>
          <cell r="BI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U363">
            <v>0</v>
          </cell>
          <cell r="BV363">
            <v>0</v>
          </cell>
          <cell r="BW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N363">
            <v>0</v>
          </cell>
          <cell r="CO363">
            <v>0</v>
          </cell>
          <cell r="CP363">
            <v>0</v>
          </cell>
          <cell r="CS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L363">
            <v>0</v>
          </cell>
          <cell r="DM363">
            <v>0</v>
          </cell>
          <cell r="DO363">
            <v>0</v>
          </cell>
          <cell r="DQ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</row>
        <row r="364">
          <cell r="D364">
            <v>1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R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BA364">
            <v>0</v>
          </cell>
          <cell r="BB364">
            <v>0</v>
          </cell>
          <cell r="BH364">
            <v>0</v>
          </cell>
          <cell r="BI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U364">
            <v>0</v>
          </cell>
          <cell r="BV364">
            <v>0</v>
          </cell>
          <cell r="BW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N364">
            <v>0</v>
          </cell>
          <cell r="CO364">
            <v>0</v>
          </cell>
          <cell r="CP364">
            <v>0</v>
          </cell>
          <cell r="CS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L364">
            <v>0</v>
          </cell>
          <cell r="DM364">
            <v>0</v>
          </cell>
          <cell r="DO364">
            <v>0</v>
          </cell>
          <cell r="DQ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</row>
        <row r="365"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R365">
            <v>0</v>
          </cell>
          <cell r="V365">
            <v>0</v>
          </cell>
          <cell r="W365">
            <v>0</v>
          </cell>
          <cell r="X365">
            <v>5</v>
          </cell>
          <cell r="Y365">
            <v>0</v>
          </cell>
          <cell r="Z365">
            <v>0</v>
          </cell>
          <cell r="AA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BA365">
            <v>0</v>
          </cell>
          <cell r="BB365">
            <v>0</v>
          </cell>
          <cell r="BH365">
            <v>0</v>
          </cell>
          <cell r="BI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U365">
            <v>0</v>
          </cell>
          <cell r="BV365">
            <v>0</v>
          </cell>
          <cell r="BW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N365">
            <v>0</v>
          </cell>
          <cell r="CO365">
            <v>0</v>
          </cell>
          <cell r="CP365">
            <v>0</v>
          </cell>
          <cell r="CS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L365">
            <v>0</v>
          </cell>
          <cell r="DM365">
            <v>0</v>
          </cell>
          <cell r="DO365">
            <v>0</v>
          </cell>
          <cell r="DQ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</row>
        <row r="366">
          <cell r="D366">
            <v>1</v>
          </cell>
          <cell r="E366">
            <v>3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K366">
            <v>0</v>
          </cell>
          <cell r="L366">
            <v>0</v>
          </cell>
          <cell r="M366">
            <v>1</v>
          </cell>
          <cell r="N366">
            <v>3</v>
          </cell>
          <cell r="R366">
            <v>0</v>
          </cell>
          <cell r="V366">
            <v>1</v>
          </cell>
          <cell r="W366">
            <v>0</v>
          </cell>
          <cell r="X366">
            <v>3</v>
          </cell>
          <cell r="Y366">
            <v>3</v>
          </cell>
          <cell r="Z366">
            <v>0</v>
          </cell>
          <cell r="AA366">
            <v>0</v>
          </cell>
          <cell r="AE366">
            <v>1</v>
          </cell>
          <cell r="AF366">
            <v>1</v>
          </cell>
          <cell r="AG366">
            <v>0</v>
          </cell>
          <cell r="AH366">
            <v>3</v>
          </cell>
          <cell r="AI366">
            <v>4</v>
          </cell>
          <cell r="AJ366">
            <v>2</v>
          </cell>
          <cell r="AK366">
            <v>3</v>
          </cell>
          <cell r="AL366">
            <v>3</v>
          </cell>
          <cell r="AN366">
            <v>1</v>
          </cell>
          <cell r="AO366">
            <v>1</v>
          </cell>
          <cell r="AP366">
            <v>1</v>
          </cell>
          <cell r="AQ366">
            <v>0</v>
          </cell>
          <cell r="AR366">
            <v>0</v>
          </cell>
          <cell r="AS366">
            <v>0</v>
          </cell>
          <cell r="AU366">
            <v>0</v>
          </cell>
          <cell r="AV366">
            <v>0</v>
          </cell>
          <cell r="AW366">
            <v>4</v>
          </cell>
          <cell r="AX366">
            <v>3</v>
          </cell>
          <cell r="AY366">
            <v>3</v>
          </cell>
          <cell r="BA366">
            <v>0</v>
          </cell>
          <cell r="BB366">
            <v>0</v>
          </cell>
          <cell r="BH366">
            <v>0</v>
          </cell>
          <cell r="BI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U366">
            <v>0</v>
          </cell>
          <cell r="BV366">
            <v>0</v>
          </cell>
          <cell r="BW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N366">
            <v>0</v>
          </cell>
          <cell r="CO366">
            <v>0</v>
          </cell>
          <cell r="CP366">
            <v>0</v>
          </cell>
          <cell r="CS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L366">
            <v>0</v>
          </cell>
          <cell r="DM366">
            <v>0</v>
          </cell>
          <cell r="DO366">
            <v>0</v>
          </cell>
          <cell r="DQ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</row>
        <row r="367">
          <cell r="D367">
            <v>1</v>
          </cell>
          <cell r="E367">
            <v>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K367">
            <v>0</v>
          </cell>
          <cell r="L367">
            <v>0</v>
          </cell>
          <cell r="M367">
            <v>1</v>
          </cell>
          <cell r="N367">
            <v>0</v>
          </cell>
          <cell r="R367">
            <v>0</v>
          </cell>
          <cell r="V367">
            <v>0</v>
          </cell>
          <cell r="W367">
            <v>0</v>
          </cell>
          <cell r="X367">
            <v>3</v>
          </cell>
          <cell r="Y367">
            <v>2</v>
          </cell>
          <cell r="Z367">
            <v>0</v>
          </cell>
          <cell r="AA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1</v>
          </cell>
          <cell r="AI367">
            <v>0</v>
          </cell>
          <cell r="AJ367">
            <v>0</v>
          </cell>
          <cell r="AK367">
            <v>1</v>
          </cell>
          <cell r="AL367">
            <v>0</v>
          </cell>
          <cell r="AN367">
            <v>1</v>
          </cell>
          <cell r="AO367">
            <v>1</v>
          </cell>
          <cell r="AP367">
            <v>1</v>
          </cell>
          <cell r="AQ367">
            <v>0</v>
          </cell>
          <cell r="AR367">
            <v>0</v>
          </cell>
          <cell r="AS367">
            <v>0</v>
          </cell>
          <cell r="AU367">
            <v>0</v>
          </cell>
          <cell r="AV367">
            <v>0</v>
          </cell>
          <cell r="AW367">
            <v>5</v>
          </cell>
          <cell r="AX367">
            <v>1</v>
          </cell>
          <cell r="AY367">
            <v>2</v>
          </cell>
          <cell r="BA367">
            <v>0</v>
          </cell>
          <cell r="BB367">
            <v>0</v>
          </cell>
          <cell r="BH367">
            <v>0</v>
          </cell>
          <cell r="BI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U367">
            <v>0</v>
          </cell>
          <cell r="BV367">
            <v>0</v>
          </cell>
          <cell r="BW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N367">
            <v>0</v>
          </cell>
          <cell r="CO367">
            <v>0</v>
          </cell>
          <cell r="CP367">
            <v>0</v>
          </cell>
          <cell r="CS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L367">
            <v>0</v>
          </cell>
          <cell r="DM367">
            <v>0</v>
          </cell>
          <cell r="DO367">
            <v>0</v>
          </cell>
          <cell r="DQ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</row>
        <row r="368">
          <cell r="D368">
            <v>0</v>
          </cell>
          <cell r="E368">
            <v>2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2</v>
          </cell>
          <cell r="R368">
            <v>0</v>
          </cell>
          <cell r="V368">
            <v>0</v>
          </cell>
          <cell r="W368">
            <v>0</v>
          </cell>
          <cell r="X368">
            <v>2</v>
          </cell>
          <cell r="Y368">
            <v>2</v>
          </cell>
          <cell r="Z368">
            <v>0</v>
          </cell>
          <cell r="AA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2</v>
          </cell>
          <cell r="AL368">
            <v>2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U368">
            <v>0</v>
          </cell>
          <cell r="AV368">
            <v>0</v>
          </cell>
          <cell r="AW368">
            <v>2</v>
          </cell>
          <cell r="AX368">
            <v>0</v>
          </cell>
          <cell r="AY368">
            <v>1</v>
          </cell>
          <cell r="BA368">
            <v>0</v>
          </cell>
          <cell r="BB368">
            <v>0</v>
          </cell>
          <cell r="BH368">
            <v>0</v>
          </cell>
          <cell r="BI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U368">
            <v>0</v>
          </cell>
          <cell r="BV368">
            <v>0</v>
          </cell>
          <cell r="BW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N368">
            <v>0</v>
          </cell>
          <cell r="CO368">
            <v>0</v>
          </cell>
          <cell r="CP368">
            <v>0</v>
          </cell>
          <cell r="CS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L368">
            <v>0</v>
          </cell>
          <cell r="DM368">
            <v>0</v>
          </cell>
          <cell r="DO368">
            <v>0</v>
          </cell>
          <cell r="DQ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</row>
        <row r="369">
          <cell r="D369">
            <v>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R369">
            <v>0</v>
          </cell>
          <cell r="V369">
            <v>1</v>
          </cell>
          <cell r="W369">
            <v>0</v>
          </cell>
          <cell r="X369">
            <v>0</v>
          </cell>
          <cell r="Y369">
            <v>0</v>
          </cell>
          <cell r="Z369">
            <v>2</v>
          </cell>
          <cell r="AA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BA369">
            <v>0</v>
          </cell>
          <cell r="BB369">
            <v>0</v>
          </cell>
          <cell r="BH369">
            <v>0</v>
          </cell>
          <cell r="BI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U369">
            <v>0</v>
          </cell>
          <cell r="BV369">
            <v>0</v>
          </cell>
          <cell r="BW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N369">
            <v>0</v>
          </cell>
          <cell r="CO369">
            <v>0</v>
          </cell>
          <cell r="CP369">
            <v>0</v>
          </cell>
          <cell r="CS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L369">
            <v>0</v>
          </cell>
          <cell r="DM369">
            <v>0</v>
          </cell>
          <cell r="DO369">
            <v>0</v>
          </cell>
          <cell r="DQ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</row>
        <row r="370"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R370">
            <v>0</v>
          </cell>
          <cell r="V370">
            <v>1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BA370">
            <v>0</v>
          </cell>
          <cell r="BB370">
            <v>0</v>
          </cell>
          <cell r="BH370">
            <v>0</v>
          </cell>
          <cell r="BI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U370">
            <v>0</v>
          </cell>
          <cell r="BV370">
            <v>0</v>
          </cell>
          <cell r="BW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N370">
            <v>0</v>
          </cell>
          <cell r="CO370">
            <v>0</v>
          </cell>
          <cell r="CP370">
            <v>0</v>
          </cell>
          <cell r="CS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L370">
            <v>0</v>
          </cell>
          <cell r="DM370">
            <v>0</v>
          </cell>
          <cell r="DO370">
            <v>0</v>
          </cell>
          <cell r="DQ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</row>
        <row r="371"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R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2</v>
          </cell>
          <cell r="AA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BA371">
            <v>0</v>
          </cell>
          <cell r="BB371">
            <v>0</v>
          </cell>
          <cell r="BH371">
            <v>0</v>
          </cell>
          <cell r="BI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U371">
            <v>0</v>
          </cell>
          <cell r="BV371">
            <v>0</v>
          </cell>
          <cell r="BW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N371">
            <v>0</v>
          </cell>
          <cell r="CO371">
            <v>0</v>
          </cell>
          <cell r="CP371">
            <v>0</v>
          </cell>
          <cell r="CS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L371">
            <v>0</v>
          </cell>
          <cell r="DM371">
            <v>0</v>
          </cell>
          <cell r="DO371">
            <v>0</v>
          </cell>
          <cell r="DQ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</row>
        <row r="372"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R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1</v>
          </cell>
          <cell r="AA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BA372">
            <v>0</v>
          </cell>
          <cell r="BB372">
            <v>0</v>
          </cell>
          <cell r="BH372">
            <v>0</v>
          </cell>
          <cell r="BI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U372">
            <v>0</v>
          </cell>
          <cell r="BV372">
            <v>0</v>
          </cell>
          <cell r="BW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N372">
            <v>0</v>
          </cell>
          <cell r="CO372">
            <v>0</v>
          </cell>
          <cell r="CP372">
            <v>0</v>
          </cell>
          <cell r="CS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L372">
            <v>0</v>
          </cell>
          <cell r="DM372">
            <v>0</v>
          </cell>
          <cell r="DO372">
            <v>0</v>
          </cell>
          <cell r="DQ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</row>
        <row r="373"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R373">
            <v>0</v>
          </cell>
          <cell r="V373">
            <v>0</v>
          </cell>
          <cell r="W373">
            <v>1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U373">
            <v>1</v>
          </cell>
          <cell r="AV373">
            <v>2</v>
          </cell>
          <cell r="AW373">
            <v>0</v>
          </cell>
          <cell r="AX373">
            <v>0</v>
          </cell>
          <cell r="AY373">
            <v>0</v>
          </cell>
          <cell r="BA373">
            <v>0</v>
          </cell>
          <cell r="BB373">
            <v>0</v>
          </cell>
          <cell r="BH373">
            <v>0</v>
          </cell>
          <cell r="BI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U373">
            <v>1</v>
          </cell>
          <cell r="BV373">
            <v>1</v>
          </cell>
          <cell r="BW373">
            <v>2</v>
          </cell>
          <cell r="BZ373">
            <v>0</v>
          </cell>
          <cell r="CA373">
            <v>1</v>
          </cell>
          <cell r="CB373">
            <v>1</v>
          </cell>
          <cell r="CC373">
            <v>1</v>
          </cell>
          <cell r="CD373">
            <v>1</v>
          </cell>
          <cell r="CE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N373">
            <v>0</v>
          </cell>
          <cell r="CO373">
            <v>0</v>
          </cell>
          <cell r="CP373">
            <v>0</v>
          </cell>
          <cell r="CS373">
            <v>0</v>
          </cell>
          <cell r="CU373">
            <v>1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L373">
            <v>0</v>
          </cell>
          <cell r="DM373">
            <v>0</v>
          </cell>
          <cell r="DO373">
            <v>0</v>
          </cell>
          <cell r="DQ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</row>
        <row r="374"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R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BA374">
            <v>0</v>
          </cell>
          <cell r="BB374">
            <v>0</v>
          </cell>
          <cell r="BH374">
            <v>0</v>
          </cell>
          <cell r="BI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U374">
            <v>0</v>
          </cell>
          <cell r="BV374">
            <v>0</v>
          </cell>
          <cell r="BW374">
            <v>1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N374">
            <v>0</v>
          </cell>
          <cell r="CO374">
            <v>0</v>
          </cell>
          <cell r="CP374">
            <v>0</v>
          </cell>
          <cell r="CS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L374">
            <v>0</v>
          </cell>
          <cell r="DM374">
            <v>0</v>
          </cell>
          <cell r="DO374">
            <v>0</v>
          </cell>
          <cell r="DQ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</row>
        <row r="375"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R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BA375">
            <v>0</v>
          </cell>
          <cell r="BB375">
            <v>0</v>
          </cell>
          <cell r="BH375">
            <v>0</v>
          </cell>
          <cell r="BI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U375">
            <v>5</v>
          </cell>
          <cell r="BV375">
            <v>0</v>
          </cell>
          <cell r="BW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N375">
            <v>0</v>
          </cell>
          <cell r="CO375">
            <v>0</v>
          </cell>
          <cell r="CP375">
            <v>0</v>
          </cell>
          <cell r="CS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L375">
            <v>0</v>
          </cell>
          <cell r="DM375">
            <v>0</v>
          </cell>
          <cell r="DO375">
            <v>0</v>
          </cell>
          <cell r="DQ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</row>
        <row r="376"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R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U376">
            <v>3</v>
          </cell>
          <cell r="AV376">
            <v>3</v>
          </cell>
          <cell r="AW376">
            <v>0</v>
          </cell>
          <cell r="AX376">
            <v>0</v>
          </cell>
          <cell r="AY376">
            <v>0</v>
          </cell>
          <cell r="BA376">
            <v>0</v>
          </cell>
          <cell r="BB376">
            <v>0</v>
          </cell>
          <cell r="BH376">
            <v>0</v>
          </cell>
          <cell r="BI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1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U376">
            <v>0</v>
          </cell>
          <cell r="BV376">
            <v>0</v>
          </cell>
          <cell r="BW376">
            <v>1</v>
          </cell>
          <cell r="BZ376">
            <v>0</v>
          </cell>
          <cell r="CA376">
            <v>0</v>
          </cell>
          <cell r="CB376">
            <v>2</v>
          </cell>
          <cell r="CC376">
            <v>0</v>
          </cell>
          <cell r="CD376">
            <v>0</v>
          </cell>
          <cell r="CE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N376">
            <v>0</v>
          </cell>
          <cell r="CO376">
            <v>0</v>
          </cell>
          <cell r="CP376">
            <v>0</v>
          </cell>
          <cell r="CS376">
            <v>0</v>
          </cell>
          <cell r="CU376">
            <v>2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L376">
            <v>0</v>
          </cell>
          <cell r="DM376">
            <v>0</v>
          </cell>
          <cell r="DO376">
            <v>0</v>
          </cell>
          <cell r="DQ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</row>
        <row r="377"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R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BA377">
            <v>0</v>
          </cell>
          <cell r="BB377">
            <v>0</v>
          </cell>
          <cell r="BH377">
            <v>0</v>
          </cell>
          <cell r="BI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U377">
            <v>0</v>
          </cell>
          <cell r="BV377">
            <v>0</v>
          </cell>
          <cell r="BW377">
            <v>1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N377">
            <v>0</v>
          </cell>
          <cell r="CO377">
            <v>0</v>
          </cell>
          <cell r="CP377">
            <v>0</v>
          </cell>
          <cell r="CS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L377">
            <v>0</v>
          </cell>
          <cell r="DM377">
            <v>0</v>
          </cell>
          <cell r="DO377">
            <v>0</v>
          </cell>
          <cell r="DQ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</row>
        <row r="378"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R378">
            <v>0</v>
          </cell>
          <cell r="V378">
            <v>0</v>
          </cell>
          <cell r="W378">
            <v>2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U378">
            <v>1</v>
          </cell>
          <cell r="AV378">
            <v>1</v>
          </cell>
          <cell r="AW378">
            <v>0</v>
          </cell>
          <cell r="AX378">
            <v>0</v>
          </cell>
          <cell r="AY378">
            <v>0</v>
          </cell>
          <cell r="BA378">
            <v>0</v>
          </cell>
          <cell r="BB378">
            <v>0</v>
          </cell>
          <cell r="BH378">
            <v>0</v>
          </cell>
          <cell r="BI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1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U378">
            <v>0</v>
          </cell>
          <cell r="BV378">
            <v>1</v>
          </cell>
          <cell r="BW378">
            <v>1</v>
          </cell>
          <cell r="BZ378">
            <v>0</v>
          </cell>
          <cell r="CA378">
            <v>1</v>
          </cell>
          <cell r="CB378">
            <v>2</v>
          </cell>
          <cell r="CC378">
            <v>1</v>
          </cell>
          <cell r="CD378">
            <v>1</v>
          </cell>
          <cell r="CE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N378">
            <v>0</v>
          </cell>
          <cell r="CO378">
            <v>0</v>
          </cell>
          <cell r="CP378">
            <v>0</v>
          </cell>
          <cell r="CS378">
            <v>0</v>
          </cell>
          <cell r="CU378">
            <v>2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L378">
            <v>0</v>
          </cell>
          <cell r="DM378">
            <v>0</v>
          </cell>
          <cell r="DO378">
            <v>0</v>
          </cell>
          <cell r="DQ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</row>
        <row r="379"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R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BA379">
            <v>0</v>
          </cell>
          <cell r="BB379">
            <v>0</v>
          </cell>
          <cell r="BH379">
            <v>0</v>
          </cell>
          <cell r="BI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U379">
            <v>0</v>
          </cell>
          <cell r="BV379">
            <v>0</v>
          </cell>
          <cell r="BW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N379">
            <v>0</v>
          </cell>
          <cell r="CO379">
            <v>0</v>
          </cell>
          <cell r="CP379">
            <v>0</v>
          </cell>
          <cell r="CS379">
            <v>0</v>
          </cell>
          <cell r="CU379">
            <v>0</v>
          </cell>
          <cell r="CV379">
            <v>6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L379">
            <v>0</v>
          </cell>
          <cell r="DM379">
            <v>0</v>
          </cell>
          <cell r="DO379">
            <v>0</v>
          </cell>
          <cell r="DQ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</row>
        <row r="380"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R380">
            <v>0</v>
          </cell>
          <cell r="V380">
            <v>0</v>
          </cell>
          <cell r="W380">
            <v>3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2</v>
          </cell>
          <cell r="AS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BA380">
            <v>0</v>
          </cell>
          <cell r="BB380">
            <v>0</v>
          </cell>
          <cell r="BH380">
            <v>0</v>
          </cell>
          <cell r="BI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U380">
            <v>0</v>
          </cell>
          <cell r="BV380">
            <v>0</v>
          </cell>
          <cell r="BW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H380">
            <v>0</v>
          </cell>
          <cell r="CI380">
            <v>1</v>
          </cell>
          <cell r="CJ380">
            <v>1</v>
          </cell>
          <cell r="CK380">
            <v>4</v>
          </cell>
          <cell r="CN380">
            <v>4</v>
          </cell>
          <cell r="CO380">
            <v>8</v>
          </cell>
          <cell r="CP380">
            <v>5</v>
          </cell>
          <cell r="CS380">
            <v>7</v>
          </cell>
          <cell r="CU380">
            <v>0</v>
          </cell>
          <cell r="CV380">
            <v>6</v>
          </cell>
          <cell r="CW380">
            <v>6</v>
          </cell>
          <cell r="CX380">
            <v>0</v>
          </cell>
          <cell r="CY380">
            <v>5</v>
          </cell>
          <cell r="CZ380">
            <v>4</v>
          </cell>
          <cell r="DB380">
            <v>0</v>
          </cell>
          <cell r="DC380">
            <v>12</v>
          </cell>
          <cell r="DD380">
            <v>0</v>
          </cell>
          <cell r="DE380">
            <v>0</v>
          </cell>
          <cell r="DF380">
            <v>1</v>
          </cell>
          <cell r="DG380">
            <v>2</v>
          </cell>
          <cell r="DH380">
            <v>0</v>
          </cell>
          <cell r="DL380">
            <v>5</v>
          </cell>
          <cell r="DM380">
            <v>5</v>
          </cell>
          <cell r="DO380">
            <v>0</v>
          </cell>
          <cell r="DQ380">
            <v>0</v>
          </cell>
          <cell r="DW380">
            <v>19</v>
          </cell>
          <cell r="DX380">
            <v>0</v>
          </cell>
          <cell r="DY380">
            <v>8</v>
          </cell>
          <cell r="DZ380">
            <v>2</v>
          </cell>
          <cell r="EA380">
            <v>0</v>
          </cell>
          <cell r="EB380">
            <v>1</v>
          </cell>
          <cell r="EC380">
            <v>8</v>
          </cell>
        </row>
        <row r="381"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R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BA381">
            <v>0</v>
          </cell>
          <cell r="BB381">
            <v>0</v>
          </cell>
          <cell r="BH381">
            <v>0</v>
          </cell>
          <cell r="BI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2</v>
          </cell>
          <cell r="BS381">
            <v>0</v>
          </cell>
          <cell r="BU381">
            <v>0</v>
          </cell>
          <cell r="BV381">
            <v>0</v>
          </cell>
          <cell r="BW381">
            <v>0</v>
          </cell>
          <cell r="BZ381">
            <v>2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N381">
            <v>0</v>
          </cell>
          <cell r="CO381">
            <v>0</v>
          </cell>
          <cell r="CP381">
            <v>0</v>
          </cell>
          <cell r="CS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L381">
            <v>0</v>
          </cell>
          <cell r="DM381">
            <v>0</v>
          </cell>
          <cell r="DO381">
            <v>0</v>
          </cell>
          <cell r="DQ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</row>
        <row r="382"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R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BA382">
            <v>0</v>
          </cell>
          <cell r="BB382">
            <v>0</v>
          </cell>
          <cell r="BH382">
            <v>0</v>
          </cell>
          <cell r="BI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U382">
            <v>0</v>
          </cell>
          <cell r="BV382">
            <v>0</v>
          </cell>
          <cell r="BW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H382">
            <v>7</v>
          </cell>
          <cell r="CI382">
            <v>0</v>
          </cell>
          <cell r="CJ382">
            <v>0</v>
          </cell>
          <cell r="CK382">
            <v>0</v>
          </cell>
          <cell r="CN382">
            <v>0</v>
          </cell>
          <cell r="CO382">
            <v>0</v>
          </cell>
          <cell r="CP382">
            <v>0</v>
          </cell>
          <cell r="CS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L382">
            <v>0</v>
          </cell>
          <cell r="DM382">
            <v>0</v>
          </cell>
          <cell r="DO382">
            <v>0</v>
          </cell>
          <cell r="DQ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</row>
        <row r="383"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R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BA383">
            <v>0</v>
          </cell>
          <cell r="BB383">
            <v>0</v>
          </cell>
          <cell r="BH383">
            <v>0</v>
          </cell>
          <cell r="BI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U383">
            <v>0</v>
          </cell>
          <cell r="BV383">
            <v>0</v>
          </cell>
          <cell r="BW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H383">
            <v>0</v>
          </cell>
          <cell r="CI383">
            <v>4</v>
          </cell>
          <cell r="CJ383">
            <v>4</v>
          </cell>
          <cell r="CK383">
            <v>4</v>
          </cell>
          <cell r="CN383">
            <v>4</v>
          </cell>
          <cell r="CO383">
            <v>0</v>
          </cell>
          <cell r="CP383">
            <v>0</v>
          </cell>
          <cell r="CS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L383">
            <v>0</v>
          </cell>
          <cell r="DM383">
            <v>0</v>
          </cell>
          <cell r="DO383">
            <v>0</v>
          </cell>
          <cell r="DQ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</row>
        <row r="384"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R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BA384">
            <v>0</v>
          </cell>
          <cell r="BB384">
            <v>0</v>
          </cell>
          <cell r="BH384">
            <v>0</v>
          </cell>
          <cell r="BI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1</v>
          </cell>
          <cell r="BS384">
            <v>0</v>
          </cell>
          <cell r="BU384">
            <v>0</v>
          </cell>
          <cell r="BV384">
            <v>0</v>
          </cell>
          <cell r="BW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1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N384">
            <v>0</v>
          </cell>
          <cell r="CO384">
            <v>0</v>
          </cell>
          <cell r="CP384">
            <v>0</v>
          </cell>
          <cell r="CS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L384">
            <v>0</v>
          </cell>
          <cell r="DM384">
            <v>0</v>
          </cell>
          <cell r="DO384">
            <v>0</v>
          </cell>
          <cell r="DQ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</row>
        <row r="385"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R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BA385">
            <v>0</v>
          </cell>
          <cell r="BB385">
            <v>0</v>
          </cell>
          <cell r="BH385">
            <v>0</v>
          </cell>
          <cell r="BI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U385">
            <v>0</v>
          </cell>
          <cell r="BV385">
            <v>0</v>
          </cell>
          <cell r="BW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H385">
            <v>4</v>
          </cell>
          <cell r="CI385">
            <v>0</v>
          </cell>
          <cell r="CJ385">
            <v>0</v>
          </cell>
          <cell r="CK385">
            <v>0</v>
          </cell>
          <cell r="CN385">
            <v>0</v>
          </cell>
          <cell r="CO385">
            <v>0</v>
          </cell>
          <cell r="CP385">
            <v>0</v>
          </cell>
          <cell r="CS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L385">
            <v>0</v>
          </cell>
          <cell r="DM385">
            <v>0</v>
          </cell>
          <cell r="DO385">
            <v>0</v>
          </cell>
          <cell r="DQ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</row>
        <row r="386"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R386">
            <v>0</v>
          </cell>
          <cell r="V386">
            <v>0</v>
          </cell>
          <cell r="W386">
            <v>1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BA386">
            <v>0</v>
          </cell>
          <cell r="BB386">
            <v>0</v>
          </cell>
          <cell r="BH386">
            <v>0</v>
          </cell>
          <cell r="BI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U386">
            <v>0</v>
          </cell>
          <cell r="BV386">
            <v>0</v>
          </cell>
          <cell r="BW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N386">
            <v>0</v>
          </cell>
          <cell r="CO386">
            <v>0</v>
          </cell>
          <cell r="CP386">
            <v>0</v>
          </cell>
          <cell r="CS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1</v>
          </cell>
          <cell r="DG386">
            <v>0</v>
          </cell>
          <cell r="DH386">
            <v>0</v>
          </cell>
          <cell r="DL386">
            <v>0</v>
          </cell>
          <cell r="DM386">
            <v>0</v>
          </cell>
          <cell r="DO386">
            <v>0</v>
          </cell>
          <cell r="DQ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</row>
        <row r="387"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R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BA387">
            <v>0</v>
          </cell>
          <cell r="BB387">
            <v>0</v>
          </cell>
          <cell r="BH387">
            <v>0</v>
          </cell>
          <cell r="BI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U387">
            <v>0</v>
          </cell>
          <cell r="BV387">
            <v>0</v>
          </cell>
          <cell r="BW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N387">
            <v>0</v>
          </cell>
          <cell r="CO387">
            <v>0</v>
          </cell>
          <cell r="CP387">
            <v>0</v>
          </cell>
          <cell r="CS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L387">
            <v>0</v>
          </cell>
          <cell r="DM387">
            <v>0</v>
          </cell>
          <cell r="DO387">
            <v>0</v>
          </cell>
          <cell r="DQ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</row>
        <row r="388"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R388">
            <v>0</v>
          </cell>
          <cell r="V388">
            <v>0</v>
          </cell>
          <cell r="W388">
            <v>3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BA388">
            <v>0</v>
          </cell>
          <cell r="BB388">
            <v>0</v>
          </cell>
          <cell r="BH388">
            <v>0</v>
          </cell>
          <cell r="BI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U388">
            <v>0</v>
          </cell>
          <cell r="BV388">
            <v>0</v>
          </cell>
          <cell r="BW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N388">
            <v>0</v>
          </cell>
          <cell r="CO388">
            <v>0</v>
          </cell>
          <cell r="CP388">
            <v>0</v>
          </cell>
          <cell r="CS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3</v>
          </cell>
          <cell r="DL388">
            <v>0</v>
          </cell>
          <cell r="DM388">
            <v>0</v>
          </cell>
          <cell r="DO388">
            <v>0</v>
          </cell>
          <cell r="DQ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</row>
        <row r="389"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R389">
            <v>0</v>
          </cell>
          <cell r="V389">
            <v>0</v>
          </cell>
          <cell r="W389">
            <v>7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BA389">
            <v>0</v>
          </cell>
          <cell r="BB389">
            <v>0</v>
          </cell>
          <cell r="BH389">
            <v>0</v>
          </cell>
          <cell r="BI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U389">
            <v>0</v>
          </cell>
          <cell r="BV389">
            <v>0</v>
          </cell>
          <cell r="BW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H389">
            <v>2</v>
          </cell>
          <cell r="CI389">
            <v>2</v>
          </cell>
          <cell r="CJ389">
            <v>2</v>
          </cell>
          <cell r="CK389">
            <v>1</v>
          </cell>
          <cell r="CN389">
            <v>1</v>
          </cell>
          <cell r="CO389">
            <v>1</v>
          </cell>
          <cell r="CP389">
            <v>1</v>
          </cell>
          <cell r="CS389">
            <v>1</v>
          </cell>
          <cell r="CU389">
            <v>0</v>
          </cell>
          <cell r="CV389">
            <v>5</v>
          </cell>
          <cell r="CW389">
            <v>1</v>
          </cell>
          <cell r="CX389">
            <v>0</v>
          </cell>
          <cell r="CY389">
            <v>1</v>
          </cell>
          <cell r="CZ389">
            <v>5</v>
          </cell>
          <cell r="DB389">
            <v>0</v>
          </cell>
          <cell r="DC389">
            <v>2</v>
          </cell>
          <cell r="DD389">
            <v>0</v>
          </cell>
          <cell r="DE389">
            <v>0</v>
          </cell>
          <cell r="DF389">
            <v>2</v>
          </cell>
          <cell r="DG389">
            <v>5</v>
          </cell>
          <cell r="DH389">
            <v>0</v>
          </cell>
          <cell r="DL389">
            <v>1</v>
          </cell>
          <cell r="DM389">
            <v>1</v>
          </cell>
          <cell r="DO389">
            <v>0</v>
          </cell>
          <cell r="DQ389">
            <v>0</v>
          </cell>
          <cell r="DW389">
            <v>6</v>
          </cell>
          <cell r="DX389">
            <v>1</v>
          </cell>
          <cell r="DY389">
            <v>8</v>
          </cell>
          <cell r="DZ389">
            <v>0</v>
          </cell>
          <cell r="EA389">
            <v>0</v>
          </cell>
          <cell r="EB389">
            <v>0</v>
          </cell>
          <cell r="EC389">
            <v>5</v>
          </cell>
        </row>
        <row r="390"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R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BA390">
            <v>0</v>
          </cell>
          <cell r="BB390">
            <v>0</v>
          </cell>
          <cell r="BH390">
            <v>0</v>
          </cell>
          <cell r="BI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2</v>
          </cell>
          <cell r="BS390">
            <v>0</v>
          </cell>
          <cell r="BU390">
            <v>0</v>
          </cell>
          <cell r="BV390">
            <v>0</v>
          </cell>
          <cell r="BW390">
            <v>0</v>
          </cell>
          <cell r="BZ390">
            <v>1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N390">
            <v>0</v>
          </cell>
          <cell r="CO390">
            <v>0</v>
          </cell>
          <cell r="CP390">
            <v>0</v>
          </cell>
          <cell r="CS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L390">
            <v>0</v>
          </cell>
          <cell r="DM390">
            <v>0</v>
          </cell>
          <cell r="DO390">
            <v>0</v>
          </cell>
          <cell r="DQ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</row>
        <row r="391"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R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BA391">
            <v>0</v>
          </cell>
          <cell r="BB391">
            <v>0</v>
          </cell>
          <cell r="BH391">
            <v>0</v>
          </cell>
          <cell r="BI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U391">
            <v>0</v>
          </cell>
          <cell r="BV391">
            <v>0</v>
          </cell>
          <cell r="BW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N391">
            <v>0</v>
          </cell>
          <cell r="CO391">
            <v>0</v>
          </cell>
          <cell r="CP391">
            <v>0</v>
          </cell>
          <cell r="CS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L391">
            <v>0</v>
          </cell>
          <cell r="DM391">
            <v>0</v>
          </cell>
          <cell r="DO391">
            <v>0</v>
          </cell>
          <cell r="DQ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</row>
        <row r="392"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R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BA392">
            <v>0</v>
          </cell>
          <cell r="BB392">
            <v>0</v>
          </cell>
          <cell r="BH392">
            <v>0</v>
          </cell>
          <cell r="BI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U392">
            <v>0</v>
          </cell>
          <cell r="BV392">
            <v>0</v>
          </cell>
          <cell r="BW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N392">
            <v>0</v>
          </cell>
          <cell r="CO392">
            <v>0</v>
          </cell>
          <cell r="CP392">
            <v>0</v>
          </cell>
          <cell r="CS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L392">
            <v>0</v>
          </cell>
          <cell r="DM392">
            <v>0</v>
          </cell>
          <cell r="DO392">
            <v>0</v>
          </cell>
          <cell r="DQ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</row>
        <row r="393"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R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BA393">
            <v>0</v>
          </cell>
          <cell r="BB393">
            <v>0</v>
          </cell>
          <cell r="BH393">
            <v>0</v>
          </cell>
          <cell r="BI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U393">
            <v>0</v>
          </cell>
          <cell r="BV393">
            <v>0</v>
          </cell>
          <cell r="BW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N393">
            <v>0</v>
          </cell>
          <cell r="CO393">
            <v>0</v>
          </cell>
          <cell r="CP393">
            <v>0</v>
          </cell>
          <cell r="CS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L393">
            <v>0</v>
          </cell>
          <cell r="DM393">
            <v>0</v>
          </cell>
          <cell r="DO393">
            <v>0</v>
          </cell>
          <cell r="DQ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</row>
        <row r="394"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R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BA394">
            <v>0</v>
          </cell>
          <cell r="BB394">
            <v>0</v>
          </cell>
          <cell r="BH394">
            <v>0</v>
          </cell>
          <cell r="BI394">
            <v>0</v>
          </cell>
          <cell r="BL394">
            <v>0</v>
          </cell>
          <cell r="BM394">
            <v>2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U394">
            <v>0</v>
          </cell>
          <cell r="BV394">
            <v>0</v>
          </cell>
          <cell r="BW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N394">
            <v>0</v>
          </cell>
          <cell r="CO394">
            <v>0</v>
          </cell>
          <cell r="CP394">
            <v>0</v>
          </cell>
          <cell r="CS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L394">
            <v>0</v>
          </cell>
          <cell r="DM394">
            <v>0</v>
          </cell>
          <cell r="DO394">
            <v>0</v>
          </cell>
          <cell r="DQ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</row>
        <row r="395"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R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BA395">
            <v>0</v>
          </cell>
          <cell r="BB395">
            <v>0</v>
          </cell>
          <cell r="BH395">
            <v>0</v>
          </cell>
          <cell r="BI395">
            <v>0</v>
          </cell>
          <cell r="BL395">
            <v>0</v>
          </cell>
          <cell r="BM395">
            <v>4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U395">
            <v>0</v>
          </cell>
          <cell r="BV395">
            <v>0</v>
          </cell>
          <cell r="BW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N395">
            <v>0</v>
          </cell>
          <cell r="CO395">
            <v>0</v>
          </cell>
          <cell r="CP395">
            <v>0</v>
          </cell>
          <cell r="CS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L395">
            <v>0</v>
          </cell>
          <cell r="DM395">
            <v>0</v>
          </cell>
          <cell r="DO395">
            <v>0</v>
          </cell>
          <cell r="DQ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</row>
        <row r="396"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R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BA396">
            <v>0</v>
          </cell>
          <cell r="BB396">
            <v>0</v>
          </cell>
          <cell r="BH396">
            <v>0</v>
          </cell>
          <cell r="BI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U396">
            <v>0</v>
          </cell>
          <cell r="BV396">
            <v>0</v>
          </cell>
          <cell r="BW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H396">
            <v>6</v>
          </cell>
          <cell r="CI396">
            <v>0</v>
          </cell>
          <cell r="CJ396">
            <v>0</v>
          </cell>
          <cell r="CK396">
            <v>0</v>
          </cell>
          <cell r="CN396">
            <v>0</v>
          </cell>
          <cell r="CO396">
            <v>0</v>
          </cell>
          <cell r="CP396">
            <v>0</v>
          </cell>
          <cell r="CS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L396">
            <v>0</v>
          </cell>
          <cell r="DM396">
            <v>0</v>
          </cell>
          <cell r="DO396">
            <v>0</v>
          </cell>
          <cell r="DQ396">
            <v>0</v>
          </cell>
          <cell r="DW396">
            <v>10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</row>
        <row r="397"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R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BA397">
            <v>0</v>
          </cell>
          <cell r="BB397">
            <v>0</v>
          </cell>
          <cell r="BH397">
            <v>0</v>
          </cell>
          <cell r="BI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U397">
            <v>0</v>
          </cell>
          <cell r="BV397">
            <v>0</v>
          </cell>
          <cell r="BW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N397">
            <v>0</v>
          </cell>
          <cell r="CO397">
            <v>0</v>
          </cell>
          <cell r="CP397">
            <v>0</v>
          </cell>
          <cell r="CS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L397">
            <v>0</v>
          </cell>
          <cell r="DM397">
            <v>0</v>
          </cell>
          <cell r="DO397">
            <v>0</v>
          </cell>
          <cell r="DQ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</row>
        <row r="398"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R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BA398">
            <v>0</v>
          </cell>
          <cell r="BB398">
            <v>0</v>
          </cell>
          <cell r="BH398">
            <v>0</v>
          </cell>
          <cell r="BI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U398">
            <v>0</v>
          </cell>
          <cell r="BV398">
            <v>0</v>
          </cell>
          <cell r="BW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N398">
            <v>0</v>
          </cell>
          <cell r="CO398">
            <v>0</v>
          </cell>
          <cell r="CP398">
            <v>0</v>
          </cell>
          <cell r="CS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L398">
            <v>0</v>
          </cell>
          <cell r="DM398">
            <v>0</v>
          </cell>
          <cell r="DO398">
            <v>0</v>
          </cell>
          <cell r="DQ398">
            <v>0</v>
          </cell>
          <cell r="DW398">
            <v>3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</row>
        <row r="399"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R399">
            <v>0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BA399">
            <v>0</v>
          </cell>
          <cell r="BB399">
            <v>0</v>
          </cell>
          <cell r="BH399">
            <v>0</v>
          </cell>
          <cell r="BI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U399">
            <v>0</v>
          </cell>
          <cell r="BV399">
            <v>0</v>
          </cell>
          <cell r="BW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N399">
            <v>0</v>
          </cell>
          <cell r="CO399">
            <v>0</v>
          </cell>
          <cell r="CP399">
            <v>0</v>
          </cell>
          <cell r="CS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1</v>
          </cell>
          <cell r="DH399">
            <v>0</v>
          </cell>
          <cell r="DL399">
            <v>0</v>
          </cell>
          <cell r="DM399">
            <v>0</v>
          </cell>
          <cell r="DO399">
            <v>0</v>
          </cell>
          <cell r="DQ399">
            <v>1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</row>
        <row r="400"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R400">
            <v>0</v>
          </cell>
          <cell r="V400">
            <v>0</v>
          </cell>
          <cell r="W400">
            <v>2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BA400">
            <v>0</v>
          </cell>
          <cell r="BB400">
            <v>0</v>
          </cell>
          <cell r="BH400">
            <v>0</v>
          </cell>
          <cell r="BI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U400">
            <v>0</v>
          </cell>
          <cell r="BV400">
            <v>0</v>
          </cell>
          <cell r="BW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N400">
            <v>0</v>
          </cell>
          <cell r="CO400">
            <v>0</v>
          </cell>
          <cell r="CP400">
            <v>0</v>
          </cell>
          <cell r="CS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2</v>
          </cell>
          <cell r="DH400">
            <v>0</v>
          </cell>
          <cell r="DL400">
            <v>0</v>
          </cell>
          <cell r="DM400">
            <v>0</v>
          </cell>
          <cell r="DO400">
            <v>0</v>
          </cell>
          <cell r="DQ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</row>
        <row r="401"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R401">
            <v>0</v>
          </cell>
          <cell r="V401">
            <v>0</v>
          </cell>
          <cell r="W401">
            <v>1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BA401">
            <v>0</v>
          </cell>
          <cell r="BB401">
            <v>0</v>
          </cell>
          <cell r="BH401">
            <v>0</v>
          </cell>
          <cell r="BI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U401">
            <v>0</v>
          </cell>
          <cell r="BV401">
            <v>0</v>
          </cell>
          <cell r="BW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N401">
            <v>0</v>
          </cell>
          <cell r="CO401">
            <v>0</v>
          </cell>
          <cell r="CP401">
            <v>0</v>
          </cell>
          <cell r="CS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L401">
            <v>0</v>
          </cell>
          <cell r="DM401">
            <v>0</v>
          </cell>
          <cell r="DO401">
            <v>0</v>
          </cell>
          <cell r="DQ401">
            <v>1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</row>
        <row r="402"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R402">
            <v>0</v>
          </cell>
          <cell r="V402">
            <v>0</v>
          </cell>
          <cell r="W402">
            <v>2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BA402">
            <v>0</v>
          </cell>
          <cell r="BB402">
            <v>0</v>
          </cell>
          <cell r="BH402">
            <v>0</v>
          </cell>
          <cell r="BI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U402">
            <v>0</v>
          </cell>
          <cell r="BV402">
            <v>0</v>
          </cell>
          <cell r="BW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N402">
            <v>0</v>
          </cell>
          <cell r="CO402">
            <v>0</v>
          </cell>
          <cell r="CP402">
            <v>0</v>
          </cell>
          <cell r="CS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L402">
            <v>0</v>
          </cell>
          <cell r="DM402">
            <v>0</v>
          </cell>
          <cell r="DO402">
            <v>0</v>
          </cell>
          <cell r="DQ402">
            <v>2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</row>
        <row r="403"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R403">
            <v>0</v>
          </cell>
          <cell r="V403">
            <v>0</v>
          </cell>
          <cell r="W403">
            <v>1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BA403">
            <v>0</v>
          </cell>
          <cell r="BB403">
            <v>0</v>
          </cell>
          <cell r="BH403">
            <v>0</v>
          </cell>
          <cell r="BI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U403">
            <v>0</v>
          </cell>
          <cell r="BV403">
            <v>0</v>
          </cell>
          <cell r="BW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N403">
            <v>0</v>
          </cell>
          <cell r="CO403">
            <v>0</v>
          </cell>
          <cell r="CP403">
            <v>0</v>
          </cell>
          <cell r="CS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L403">
            <v>0</v>
          </cell>
          <cell r="DM403">
            <v>0</v>
          </cell>
          <cell r="DO403">
            <v>0</v>
          </cell>
          <cell r="DQ403">
            <v>1</v>
          </cell>
          <cell r="DW403">
            <v>5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</row>
        <row r="404"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R404">
            <v>0</v>
          </cell>
          <cell r="V404">
            <v>0</v>
          </cell>
          <cell r="W404">
            <v>2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BA404">
            <v>0</v>
          </cell>
          <cell r="BB404">
            <v>0</v>
          </cell>
          <cell r="BH404">
            <v>0</v>
          </cell>
          <cell r="BI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U404">
            <v>0</v>
          </cell>
          <cell r="BV404">
            <v>0</v>
          </cell>
          <cell r="BW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N404">
            <v>0</v>
          </cell>
          <cell r="CO404">
            <v>0</v>
          </cell>
          <cell r="CP404">
            <v>0</v>
          </cell>
          <cell r="CS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1</v>
          </cell>
          <cell r="DH404">
            <v>0</v>
          </cell>
          <cell r="DL404">
            <v>0</v>
          </cell>
          <cell r="DM404">
            <v>0</v>
          </cell>
          <cell r="DO404">
            <v>0</v>
          </cell>
          <cell r="DQ404">
            <v>1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</row>
        <row r="405"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R405">
            <v>0</v>
          </cell>
          <cell r="V405">
            <v>0</v>
          </cell>
          <cell r="W405">
            <v>3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BA405">
            <v>0</v>
          </cell>
          <cell r="BB405">
            <v>0</v>
          </cell>
          <cell r="BH405">
            <v>0</v>
          </cell>
          <cell r="BI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U405">
            <v>0</v>
          </cell>
          <cell r="BV405">
            <v>0</v>
          </cell>
          <cell r="BW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H405">
            <v>0</v>
          </cell>
          <cell r="CI405">
            <v>4</v>
          </cell>
          <cell r="CJ405">
            <v>0</v>
          </cell>
          <cell r="CK405">
            <v>0</v>
          </cell>
          <cell r="CN405">
            <v>1</v>
          </cell>
          <cell r="CO405">
            <v>0</v>
          </cell>
          <cell r="CP405">
            <v>0</v>
          </cell>
          <cell r="CS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3</v>
          </cell>
          <cell r="DH405">
            <v>0</v>
          </cell>
          <cell r="DL405">
            <v>0</v>
          </cell>
          <cell r="DM405">
            <v>0</v>
          </cell>
          <cell r="DO405">
            <v>0</v>
          </cell>
          <cell r="DQ405">
            <v>0</v>
          </cell>
          <cell r="DW405">
            <v>1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</row>
        <row r="406"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R406">
            <v>0</v>
          </cell>
          <cell r="V406">
            <v>0</v>
          </cell>
          <cell r="W406">
            <v>1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BA406">
            <v>0</v>
          </cell>
          <cell r="BB406">
            <v>0</v>
          </cell>
          <cell r="BH406">
            <v>0</v>
          </cell>
          <cell r="BI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U406">
            <v>0</v>
          </cell>
          <cell r="BV406">
            <v>0</v>
          </cell>
          <cell r="BW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N406">
            <v>0</v>
          </cell>
          <cell r="CO406">
            <v>0</v>
          </cell>
          <cell r="CP406">
            <v>0</v>
          </cell>
          <cell r="CS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1</v>
          </cell>
          <cell r="DH406">
            <v>0</v>
          </cell>
          <cell r="DL406">
            <v>0</v>
          </cell>
          <cell r="DM406">
            <v>0</v>
          </cell>
          <cell r="DO406">
            <v>0</v>
          </cell>
          <cell r="DQ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</row>
        <row r="407"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R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BA407">
            <v>0</v>
          </cell>
          <cell r="BB407">
            <v>0</v>
          </cell>
          <cell r="BH407">
            <v>0</v>
          </cell>
          <cell r="BI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U407">
            <v>0</v>
          </cell>
          <cell r="BV407">
            <v>0</v>
          </cell>
          <cell r="BW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N407">
            <v>1</v>
          </cell>
          <cell r="CO407">
            <v>0</v>
          </cell>
          <cell r="CP407">
            <v>0</v>
          </cell>
          <cell r="CS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L407">
            <v>0</v>
          </cell>
          <cell r="DM407">
            <v>0</v>
          </cell>
          <cell r="DO407">
            <v>0</v>
          </cell>
          <cell r="DQ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</row>
        <row r="408"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R408">
            <v>0</v>
          </cell>
          <cell r="V408">
            <v>0</v>
          </cell>
          <cell r="W408">
            <v>2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BA408">
            <v>0</v>
          </cell>
          <cell r="BB408">
            <v>0</v>
          </cell>
          <cell r="BH408">
            <v>0</v>
          </cell>
          <cell r="BI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U408">
            <v>0</v>
          </cell>
          <cell r="BV408">
            <v>0</v>
          </cell>
          <cell r="BW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H408">
            <v>3</v>
          </cell>
          <cell r="CI408">
            <v>0</v>
          </cell>
          <cell r="CJ408">
            <v>4</v>
          </cell>
          <cell r="CK408">
            <v>0</v>
          </cell>
          <cell r="CN408">
            <v>1</v>
          </cell>
          <cell r="CO408">
            <v>0</v>
          </cell>
          <cell r="CP408">
            <v>0</v>
          </cell>
          <cell r="CS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2</v>
          </cell>
          <cell r="DH408">
            <v>0</v>
          </cell>
          <cell r="DL408">
            <v>0</v>
          </cell>
          <cell r="DM408">
            <v>0</v>
          </cell>
          <cell r="DO408">
            <v>0</v>
          </cell>
          <cell r="DQ408">
            <v>0</v>
          </cell>
          <cell r="DW408">
            <v>3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</row>
        <row r="409">
          <cell r="D409">
            <v>0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R409">
            <v>0</v>
          </cell>
          <cell r="V409">
            <v>0</v>
          </cell>
          <cell r="W409">
            <v>0</v>
          </cell>
          <cell r="X409">
            <v>1</v>
          </cell>
          <cell r="Y409">
            <v>1</v>
          </cell>
          <cell r="Z409">
            <v>0</v>
          </cell>
          <cell r="AA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1</v>
          </cell>
          <cell r="AL409">
            <v>1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1</v>
          </cell>
          <cell r="BA409">
            <v>0</v>
          </cell>
          <cell r="BB409">
            <v>0</v>
          </cell>
          <cell r="BH409">
            <v>0</v>
          </cell>
          <cell r="BI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U409">
            <v>0</v>
          </cell>
          <cell r="BV409">
            <v>0</v>
          </cell>
          <cell r="BW409">
            <v>1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N409">
            <v>0</v>
          </cell>
          <cell r="CO409">
            <v>0</v>
          </cell>
          <cell r="CP409">
            <v>0</v>
          </cell>
          <cell r="CS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L409">
            <v>0</v>
          </cell>
          <cell r="DM409">
            <v>0</v>
          </cell>
          <cell r="DO409">
            <v>0</v>
          </cell>
          <cell r="DQ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</row>
        <row r="410"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R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BA410">
            <v>0</v>
          </cell>
          <cell r="BB410">
            <v>0</v>
          </cell>
          <cell r="BH410">
            <v>0</v>
          </cell>
          <cell r="BI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U410">
            <v>0</v>
          </cell>
          <cell r="BV410">
            <v>0</v>
          </cell>
          <cell r="BW410">
            <v>0</v>
          </cell>
          <cell r="BZ410">
            <v>1</v>
          </cell>
          <cell r="CA410">
            <v>0</v>
          </cell>
          <cell r="CB410">
            <v>1</v>
          </cell>
          <cell r="CC410">
            <v>0</v>
          </cell>
          <cell r="CD410">
            <v>0</v>
          </cell>
          <cell r="CE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N410">
            <v>0</v>
          </cell>
          <cell r="CO410">
            <v>0</v>
          </cell>
          <cell r="CP410">
            <v>0</v>
          </cell>
          <cell r="CS410">
            <v>0</v>
          </cell>
          <cell r="CU410">
            <v>1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L410">
            <v>0</v>
          </cell>
          <cell r="DM410">
            <v>0</v>
          </cell>
          <cell r="DO410">
            <v>0</v>
          </cell>
          <cell r="DQ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</row>
        <row r="411"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R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BA411">
            <v>0</v>
          </cell>
          <cell r="BB411">
            <v>0</v>
          </cell>
          <cell r="BH411">
            <v>0</v>
          </cell>
          <cell r="BI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U411">
            <v>0</v>
          </cell>
          <cell r="BV411">
            <v>0</v>
          </cell>
          <cell r="BW411">
            <v>0</v>
          </cell>
          <cell r="BZ411">
            <v>3</v>
          </cell>
          <cell r="CA411">
            <v>0</v>
          </cell>
          <cell r="CB411">
            <v>5</v>
          </cell>
          <cell r="CC411">
            <v>0</v>
          </cell>
          <cell r="CD411">
            <v>0</v>
          </cell>
          <cell r="CE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N411">
            <v>0</v>
          </cell>
          <cell r="CO411">
            <v>0</v>
          </cell>
          <cell r="CP411">
            <v>0</v>
          </cell>
          <cell r="CS411">
            <v>0</v>
          </cell>
          <cell r="CU411">
            <v>5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L411">
            <v>0</v>
          </cell>
          <cell r="DM411">
            <v>0</v>
          </cell>
          <cell r="DO411">
            <v>0</v>
          </cell>
          <cell r="DQ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</row>
        <row r="412"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R412">
            <v>0</v>
          </cell>
          <cell r="V412">
            <v>1</v>
          </cell>
          <cell r="W412">
            <v>1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BA412">
            <v>0</v>
          </cell>
          <cell r="BB412">
            <v>0</v>
          </cell>
          <cell r="BH412">
            <v>0</v>
          </cell>
          <cell r="BI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U412">
            <v>0</v>
          </cell>
          <cell r="BV412">
            <v>0</v>
          </cell>
          <cell r="BW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N412">
            <v>0</v>
          </cell>
          <cell r="CO412">
            <v>0</v>
          </cell>
          <cell r="CP412">
            <v>0</v>
          </cell>
          <cell r="CS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H412">
            <v>0</v>
          </cell>
          <cell r="DL412">
            <v>0</v>
          </cell>
          <cell r="DM412">
            <v>0</v>
          </cell>
          <cell r="DO412">
            <v>0</v>
          </cell>
          <cell r="DQ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</row>
        <row r="413"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R413">
            <v>0</v>
          </cell>
          <cell r="V413">
            <v>0</v>
          </cell>
          <cell r="W413">
            <v>1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BA413">
            <v>0</v>
          </cell>
          <cell r="BB413">
            <v>0</v>
          </cell>
          <cell r="BH413">
            <v>0</v>
          </cell>
          <cell r="BI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U413">
            <v>0</v>
          </cell>
          <cell r="BV413">
            <v>0</v>
          </cell>
          <cell r="BW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N413">
            <v>0</v>
          </cell>
          <cell r="CO413">
            <v>0</v>
          </cell>
          <cell r="CP413">
            <v>0</v>
          </cell>
          <cell r="CS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1</v>
          </cell>
          <cell r="DH413">
            <v>0</v>
          </cell>
          <cell r="DL413">
            <v>0</v>
          </cell>
          <cell r="DM413">
            <v>0</v>
          </cell>
          <cell r="DO413">
            <v>0</v>
          </cell>
          <cell r="DQ413">
            <v>0</v>
          </cell>
          <cell r="DW413">
            <v>1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</row>
        <row r="414"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R414">
            <v>0</v>
          </cell>
          <cell r="V414">
            <v>0</v>
          </cell>
          <cell r="W414">
            <v>1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BA414">
            <v>0</v>
          </cell>
          <cell r="BB414">
            <v>0</v>
          </cell>
          <cell r="BH414">
            <v>0</v>
          </cell>
          <cell r="BI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U414">
            <v>0</v>
          </cell>
          <cell r="BV414">
            <v>0</v>
          </cell>
          <cell r="BW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H414">
            <v>2</v>
          </cell>
          <cell r="CI414">
            <v>0</v>
          </cell>
          <cell r="CJ414">
            <v>0</v>
          </cell>
          <cell r="CK414">
            <v>0</v>
          </cell>
          <cell r="CN414">
            <v>0</v>
          </cell>
          <cell r="CO414">
            <v>0</v>
          </cell>
          <cell r="CP414">
            <v>0</v>
          </cell>
          <cell r="CS414">
            <v>0</v>
          </cell>
          <cell r="CU414">
            <v>0</v>
          </cell>
          <cell r="CV414">
            <v>1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1</v>
          </cell>
          <cell r="DF414">
            <v>0</v>
          </cell>
          <cell r="DG414">
            <v>0</v>
          </cell>
          <cell r="DH414">
            <v>0</v>
          </cell>
          <cell r="DL414">
            <v>0</v>
          </cell>
          <cell r="DM414">
            <v>0</v>
          </cell>
          <cell r="DO414">
            <v>0</v>
          </cell>
          <cell r="DQ414">
            <v>0</v>
          </cell>
          <cell r="DW414">
            <v>1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</row>
        <row r="415"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R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BA415">
            <v>0</v>
          </cell>
          <cell r="BB415">
            <v>0</v>
          </cell>
          <cell r="BH415">
            <v>0</v>
          </cell>
          <cell r="BI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U415">
            <v>0</v>
          </cell>
          <cell r="BV415">
            <v>0</v>
          </cell>
          <cell r="BW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H415">
            <v>2</v>
          </cell>
          <cell r="CI415">
            <v>0</v>
          </cell>
          <cell r="CJ415">
            <v>0</v>
          </cell>
          <cell r="CK415">
            <v>0</v>
          </cell>
          <cell r="CN415">
            <v>0</v>
          </cell>
          <cell r="CO415">
            <v>0</v>
          </cell>
          <cell r="CP415">
            <v>0</v>
          </cell>
          <cell r="CS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L415">
            <v>0</v>
          </cell>
          <cell r="DM415">
            <v>0</v>
          </cell>
          <cell r="DO415">
            <v>0</v>
          </cell>
          <cell r="DQ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</row>
        <row r="416"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R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BA416">
            <v>0</v>
          </cell>
          <cell r="BB416">
            <v>0</v>
          </cell>
          <cell r="BH416">
            <v>0</v>
          </cell>
          <cell r="BI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U416">
            <v>0</v>
          </cell>
          <cell r="BV416">
            <v>0</v>
          </cell>
          <cell r="BW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N416">
            <v>0</v>
          </cell>
          <cell r="CO416">
            <v>0</v>
          </cell>
          <cell r="CP416">
            <v>0</v>
          </cell>
          <cell r="CS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L416">
            <v>0</v>
          </cell>
          <cell r="DM416">
            <v>0</v>
          </cell>
          <cell r="DO416">
            <v>0</v>
          </cell>
          <cell r="DQ416">
            <v>0</v>
          </cell>
          <cell r="DW416">
            <v>3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</row>
        <row r="417"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R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BA417">
            <v>0</v>
          </cell>
          <cell r="BB417">
            <v>0</v>
          </cell>
          <cell r="BH417">
            <v>0</v>
          </cell>
          <cell r="BI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U417">
            <v>0</v>
          </cell>
          <cell r="BV417">
            <v>0</v>
          </cell>
          <cell r="BW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N417">
            <v>0</v>
          </cell>
          <cell r="CO417">
            <v>0</v>
          </cell>
          <cell r="CP417">
            <v>0</v>
          </cell>
          <cell r="CS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L417">
            <v>0</v>
          </cell>
          <cell r="DM417">
            <v>0</v>
          </cell>
          <cell r="DO417">
            <v>0</v>
          </cell>
          <cell r="DQ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</row>
        <row r="418"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R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BA418">
            <v>0</v>
          </cell>
          <cell r="BB418">
            <v>0</v>
          </cell>
          <cell r="BH418">
            <v>0</v>
          </cell>
          <cell r="BI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U418">
            <v>0</v>
          </cell>
          <cell r="BV418">
            <v>0</v>
          </cell>
          <cell r="BW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H418">
            <v>0</v>
          </cell>
          <cell r="CI418">
            <v>1</v>
          </cell>
          <cell r="CJ418">
            <v>1</v>
          </cell>
          <cell r="CK418">
            <v>0</v>
          </cell>
          <cell r="CN418">
            <v>0</v>
          </cell>
          <cell r="CO418">
            <v>0</v>
          </cell>
          <cell r="CP418">
            <v>0</v>
          </cell>
          <cell r="CS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B418">
            <v>1</v>
          </cell>
          <cell r="DC418">
            <v>0</v>
          </cell>
          <cell r="DD418">
            <v>1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L418">
            <v>0</v>
          </cell>
          <cell r="DM418">
            <v>0</v>
          </cell>
          <cell r="DO418">
            <v>0</v>
          </cell>
          <cell r="DQ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</row>
        <row r="419"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R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BA419">
            <v>0</v>
          </cell>
          <cell r="BB419">
            <v>0</v>
          </cell>
          <cell r="BH419">
            <v>0</v>
          </cell>
          <cell r="BI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U419">
            <v>0</v>
          </cell>
          <cell r="BV419">
            <v>0</v>
          </cell>
          <cell r="BW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H419">
            <v>1</v>
          </cell>
          <cell r="CI419">
            <v>0</v>
          </cell>
          <cell r="CJ419">
            <v>0</v>
          </cell>
          <cell r="CK419">
            <v>0</v>
          </cell>
          <cell r="CN419">
            <v>0</v>
          </cell>
          <cell r="CO419">
            <v>0</v>
          </cell>
          <cell r="CP419">
            <v>0</v>
          </cell>
          <cell r="CS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B419">
            <v>0</v>
          </cell>
          <cell r="DC419">
            <v>1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L419">
            <v>0</v>
          </cell>
          <cell r="DM419">
            <v>0</v>
          </cell>
          <cell r="DO419">
            <v>0</v>
          </cell>
          <cell r="DQ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</row>
        <row r="420"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R420">
            <v>0</v>
          </cell>
          <cell r="V420">
            <v>0</v>
          </cell>
          <cell r="W420">
            <v>1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BA420">
            <v>0</v>
          </cell>
          <cell r="BB420">
            <v>0</v>
          </cell>
          <cell r="BH420">
            <v>0</v>
          </cell>
          <cell r="BI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U420">
            <v>0</v>
          </cell>
          <cell r="BV420">
            <v>0</v>
          </cell>
          <cell r="BW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N420">
            <v>0</v>
          </cell>
          <cell r="CO420">
            <v>0</v>
          </cell>
          <cell r="CP420">
            <v>0</v>
          </cell>
          <cell r="CS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1</v>
          </cell>
          <cell r="DG420">
            <v>0</v>
          </cell>
          <cell r="DH420">
            <v>0</v>
          </cell>
          <cell r="DL420">
            <v>0</v>
          </cell>
          <cell r="DM420">
            <v>0</v>
          </cell>
          <cell r="DO420">
            <v>0</v>
          </cell>
          <cell r="DQ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</row>
        <row r="421"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R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BA421">
            <v>0</v>
          </cell>
          <cell r="BB421">
            <v>0</v>
          </cell>
          <cell r="BH421">
            <v>0</v>
          </cell>
          <cell r="BI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U421">
            <v>0</v>
          </cell>
          <cell r="BV421">
            <v>0</v>
          </cell>
          <cell r="BW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N421">
            <v>0</v>
          </cell>
          <cell r="CO421">
            <v>0</v>
          </cell>
          <cell r="CP421">
            <v>0</v>
          </cell>
          <cell r="CS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1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L421">
            <v>0</v>
          </cell>
          <cell r="DM421">
            <v>0</v>
          </cell>
          <cell r="DO421">
            <v>0</v>
          </cell>
          <cell r="DQ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</row>
        <row r="422"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R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1</v>
          </cell>
          <cell r="AS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BA422">
            <v>0</v>
          </cell>
          <cell r="BB422">
            <v>0</v>
          </cell>
          <cell r="BH422">
            <v>0</v>
          </cell>
          <cell r="BI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U422">
            <v>0</v>
          </cell>
          <cell r="BV422">
            <v>0</v>
          </cell>
          <cell r="BW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1</v>
          </cell>
          <cell r="CN422">
            <v>1</v>
          </cell>
          <cell r="CO422">
            <v>1</v>
          </cell>
          <cell r="CP422">
            <v>1</v>
          </cell>
          <cell r="CS422">
            <v>1</v>
          </cell>
          <cell r="CU422">
            <v>0</v>
          </cell>
          <cell r="CV422">
            <v>0</v>
          </cell>
          <cell r="CW422">
            <v>1</v>
          </cell>
          <cell r="CX422">
            <v>0</v>
          </cell>
          <cell r="CY422">
            <v>1</v>
          </cell>
          <cell r="CZ422">
            <v>1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L422">
            <v>1</v>
          </cell>
          <cell r="DM422">
            <v>1</v>
          </cell>
          <cell r="DO422">
            <v>0</v>
          </cell>
          <cell r="DQ422">
            <v>0</v>
          </cell>
          <cell r="DW422">
            <v>0</v>
          </cell>
          <cell r="DX422">
            <v>0</v>
          </cell>
          <cell r="DY422">
            <v>1</v>
          </cell>
          <cell r="DZ422">
            <v>0</v>
          </cell>
          <cell r="EA422">
            <v>0</v>
          </cell>
          <cell r="EB422">
            <v>0</v>
          </cell>
          <cell r="EC422">
            <v>1</v>
          </cell>
        </row>
        <row r="423"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R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BA423">
            <v>0</v>
          </cell>
          <cell r="BB423">
            <v>0</v>
          </cell>
          <cell r="BH423">
            <v>0</v>
          </cell>
          <cell r="BI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U423">
            <v>0</v>
          </cell>
          <cell r="BV423">
            <v>0</v>
          </cell>
          <cell r="BW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1</v>
          </cell>
          <cell r="CH423">
            <v>0</v>
          </cell>
          <cell r="CI423">
            <v>1</v>
          </cell>
          <cell r="CJ423">
            <v>1</v>
          </cell>
          <cell r="CK423">
            <v>0</v>
          </cell>
          <cell r="CN423">
            <v>0</v>
          </cell>
          <cell r="CO423">
            <v>0</v>
          </cell>
          <cell r="CP423">
            <v>0</v>
          </cell>
          <cell r="CS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H423">
            <v>0</v>
          </cell>
          <cell r="DL423">
            <v>0</v>
          </cell>
          <cell r="DM423">
            <v>0</v>
          </cell>
          <cell r="DO423">
            <v>0</v>
          </cell>
          <cell r="DQ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</row>
        <row r="424"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1</v>
          </cell>
          <cell r="R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U424">
            <v>0</v>
          </cell>
          <cell r="AV424">
            <v>0</v>
          </cell>
          <cell r="AW424">
            <v>1</v>
          </cell>
          <cell r="AX424">
            <v>1</v>
          </cell>
          <cell r="AY424">
            <v>0</v>
          </cell>
          <cell r="BA424">
            <v>0</v>
          </cell>
          <cell r="BB424">
            <v>0</v>
          </cell>
          <cell r="BH424">
            <v>0</v>
          </cell>
          <cell r="BI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U424">
            <v>0</v>
          </cell>
          <cell r="BV424">
            <v>0</v>
          </cell>
          <cell r="BW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N424">
            <v>0</v>
          </cell>
          <cell r="CO424">
            <v>0</v>
          </cell>
          <cell r="CP424">
            <v>0</v>
          </cell>
          <cell r="CS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L424">
            <v>0</v>
          </cell>
          <cell r="DM424">
            <v>0</v>
          </cell>
          <cell r="DO424">
            <v>0</v>
          </cell>
          <cell r="DQ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</row>
        <row r="425"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R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BA425">
            <v>0</v>
          </cell>
          <cell r="BB425">
            <v>0</v>
          </cell>
          <cell r="BH425">
            <v>0</v>
          </cell>
          <cell r="BI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U425">
            <v>0</v>
          </cell>
          <cell r="BV425">
            <v>0</v>
          </cell>
          <cell r="BW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1</v>
          </cell>
          <cell r="CN425">
            <v>1</v>
          </cell>
          <cell r="CO425">
            <v>2</v>
          </cell>
          <cell r="CP425">
            <v>0</v>
          </cell>
          <cell r="CS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L425">
            <v>0</v>
          </cell>
          <cell r="DM425">
            <v>0</v>
          </cell>
          <cell r="DO425">
            <v>0</v>
          </cell>
          <cell r="DQ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</row>
        <row r="426"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R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BA426">
            <v>0</v>
          </cell>
          <cell r="BB426">
            <v>0</v>
          </cell>
          <cell r="BH426">
            <v>0</v>
          </cell>
          <cell r="BI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U426">
            <v>0</v>
          </cell>
          <cell r="BV426">
            <v>0</v>
          </cell>
          <cell r="BW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N426">
            <v>0</v>
          </cell>
          <cell r="CO426">
            <v>0</v>
          </cell>
          <cell r="CP426">
            <v>0</v>
          </cell>
          <cell r="CS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L426">
            <v>0</v>
          </cell>
          <cell r="DM426">
            <v>0</v>
          </cell>
          <cell r="DO426">
            <v>0</v>
          </cell>
          <cell r="DQ426">
            <v>0</v>
          </cell>
          <cell r="DW426">
            <v>0</v>
          </cell>
          <cell r="DX426">
            <v>0</v>
          </cell>
          <cell r="DY426">
            <v>1</v>
          </cell>
          <cell r="DZ426">
            <v>0</v>
          </cell>
          <cell r="EA426">
            <v>0</v>
          </cell>
          <cell r="EB426">
            <v>0</v>
          </cell>
          <cell r="EC426">
            <v>4</v>
          </cell>
        </row>
        <row r="427"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R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BA427">
            <v>0</v>
          </cell>
          <cell r="BB427">
            <v>0</v>
          </cell>
          <cell r="BH427">
            <v>0</v>
          </cell>
          <cell r="BI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U427">
            <v>0</v>
          </cell>
          <cell r="BV427">
            <v>0</v>
          </cell>
          <cell r="BW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N427">
            <v>0</v>
          </cell>
          <cell r="CO427">
            <v>0</v>
          </cell>
          <cell r="CP427">
            <v>0</v>
          </cell>
          <cell r="CS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L427">
            <v>0</v>
          </cell>
          <cell r="DM427">
            <v>0</v>
          </cell>
          <cell r="DO427">
            <v>0</v>
          </cell>
          <cell r="DQ427">
            <v>0</v>
          </cell>
          <cell r="DW427">
            <v>0</v>
          </cell>
          <cell r="DX427">
            <v>0</v>
          </cell>
          <cell r="DY427">
            <v>2</v>
          </cell>
          <cell r="DZ427">
            <v>0</v>
          </cell>
          <cell r="EA427">
            <v>0</v>
          </cell>
          <cell r="EB427">
            <v>0</v>
          </cell>
          <cell r="EC427">
            <v>3</v>
          </cell>
        </row>
        <row r="428"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R428">
            <v>0</v>
          </cell>
          <cell r="V428">
            <v>0</v>
          </cell>
          <cell r="W428">
            <v>2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BA428">
            <v>0</v>
          </cell>
          <cell r="BB428">
            <v>0</v>
          </cell>
          <cell r="BH428">
            <v>0</v>
          </cell>
          <cell r="BI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U428">
            <v>0</v>
          </cell>
          <cell r="BV428">
            <v>0</v>
          </cell>
          <cell r="BW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N428">
            <v>0</v>
          </cell>
          <cell r="CO428">
            <v>0</v>
          </cell>
          <cell r="CP428">
            <v>0</v>
          </cell>
          <cell r="CS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1</v>
          </cell>
          <cell r="DG428">
            <v>0</v>
          </cell>
          <cell r="DH428">
            <v>1</v>
          </cell>
          <cell r="DL428">
            <v>0</v>
          </cell>
          <cell r="DM428">
            <v>0</v>
          </cell>
          <cell r="DO428">
            <v>0</v>
          </cell>
          <cell r="DQ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</row>
        <row r="429"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R429">
            <v>0</v>
          </cell>
          <cell r="V429">
            <v>0</v>
          </cell>
          <cell r="W429">
            <v>1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BA429">
            <v>0</v>
          </cell>
          <cell r="BB429">
            <v>0</v>
          </cell>
          <cell r="BH429">
            <v>0</v>
          </cell>
          <cell r="BI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U429">
            <v>0</v>
          </cell>
          <cell r="BV429">
            <v>0</v>
          </cell>
          <cell r="BW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N429">
            <v>0</v>
          </cell>
          <cell r="CO429">
            <v>0</v>
          </cell>
          <cell r="CP429">
            <v>0</v>
          </cell>
          <cell r="CS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1</v>
          </cell>
          <cell r="DH429">
            <v>0</v>
          </cell>
          <cell r="DL429">
            <v>0</v>
          </cell>
          <cell r="DM429">
            <v>0</v>
          </cell>
          <cell r="DO429">
            <v>0</v>
          </cell>
          <cell r="DQ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</row>
        <row r="430"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R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N430">
            <v>1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BA430">
            <v>0</v>
          </cell>
          <cell r="BB430">
            <v>0</v>
          </cell>
          <cell r="BH430">
            <v>0</v>
          </cell>
          <cell r="BI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U430">
            <v>0</v>
          </cell>
          <cell r="BV430">
            <v>0</v>
          </cell>
          <cell r="BW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N430">
            <v>0</v>
          </cell>
          <cell r="CO430">
            <v>0</v>
          </cell>
          <cell r="CP430">
            <v>0</v>
          </cell>
          <cell r="CS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L430">
            <v>0</v>
          </cell>
          <cell r="DM430">
            <v>0</v>
          </cell>
          <cell r="DO430">
            <v>0</v>
          </cell>
          <cell r="DQ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</row>
        <row r="431">
          <cell r="D431">
            <v>1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R431">
            <v>0</v>
          </cell>
          <cell r="V431">
            <v>0</v>
          </cell>
          <cell r="W431">
            <v>0</v>
          </cell>
          <cell r="X431">
            <v>3</v>
          </cell>
          <cell r="Y431">
            <v>2</v>
          </cell>
          <cell r="Z431">
            <v>0</v>
          </cell>
          <cell r="AA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BA431">
            <v>0</v>
          </cell>
          <cell r="BB431">
            <v>0</v>
          </cell>
          <cell r="BH431">
            <v>0</v>
          </cell>
          <cell r="BI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U431">
            <v>0</v>
          </cell>
          <cell r="BV431">
            <v>0</v>
          </cell>
          <cell r="BW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N431">
            <v>0</v>
          </cell>
          <cell r="CO431">
            <v>0</v>
          </cell>
          <cell r="CP431">
            <v>0</v>
          </cell>
          <cell r="CS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L431">
            <v>0</v>
          </cell>
          <cell r="DM431">
            <v>0</v>
          </cell>
          <cell r="DO431">
            <v>0</v>
          </cell>
          <cell r="DQ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</row>
        <row r="432"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R432">
            <v>0</v>
          </cell>
          <cell r="V432">
            <v>1</v>
          </cell>
          <cell r="W432">
            <v>0</v>
          </cell>
          <cell r="X432">
            <v>1</v>
          </cell>
          <cell r="Y432">
            <v>1</v>
          </cell>
          <cell r="Z432">
            <v>0</v>
          </cell>
          <cell r="AA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BA432">
            <v>0</v>
          </cell>
          <cell r="BB432">
            <v>0</v>
          </cell>
          <cell r="BH432">
            <v>0</v>
          </cell>
          <cell r="BI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U432">
            <v>0</v>
          </cell>
          <cell r="BV432">
            <v>0</v>
          </cell>
          <cell r="BW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N432">
            <v>0</v>
          </cell>
          <cell r="CO432">
            <v>0</v>
          </cell>
          <cell r="CP432">
            <v>0</v>
          </cell>
          <cell r="CS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L432">
            <v>0</v>
          </cell>
          <cell r="DM432">
            <v>0</v>
          </cell>
          <cell r="DO432">
            <v>0</v>
          </cell>
          <cell r="DQ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</row>
        <row r="433"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R433">
            <v>0</v>
          </cell>
          <cell r="V433">
            <v>4</v>
          </cell>
          <cell r="W433">
            <v>2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BA433">
            <v>0</v>
          </cell>
          <cell r="BB433">
            <v>0</v>
          </cell>
          <cell r="BH433">
            <v>0</v>
          </cell>
          <cell r="BI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U433">
            <v>0</v>
          </cell>
          <cell r="BV433">
            <v>0</v>
          </cell>
          <cell r="BW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N433">
            <v>0</v>
          </cell>
          <cell r="CO433">
            <v>0</v>
          </cell>
          <cell r="CP433">
            <v>0</v>
          </cell>
          <cell r="CS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H433">
            <v>0</v>
          </cell>
          <cell r="DL433">
            <v>0</v>
          </cell>
          <cell r="DM433">
            <v>0</v>
          </cell>
          <cell r="DO433">
            <v>0</v>
          </cell>
          <cell r="DQ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</row>
        <row r="434"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R434">
            <v>0</v>
          </cell>
          <cell r="V434">
            <v>1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E434">
            <v>1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BA434">
            <v>0</v>
          </cell>
          <cell r="BB434">
            <v>0</v>
          </cell>
          <cell r="BH434">
            <v>0</v>
          </cell>
          <cell r="BI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U434">
            <v>0</v>
          </cell>
          <cell r="BV434">
            <v>0</v>
          </cell>
          <cell r="BW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N434">
            <v>0</v>
          </cell>
          <cell r="CO434">
            <v>0</v>
          </cell>
          <cell r="CP434">
            <v>0</v>
          </cell>
          <cell r="CS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H434">
            <v>0</v>
          </cell>
          <cell r="DL434">
            <v>0</v>
          </cell>
          <cell r="DM434">
            <v>0</v>
          </cell>
          <cell r="DO434">
            <v>0</v>
          </cell>
          <cell r="DQ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0</v>
          </cell>
          <cell r="EB434">
            <v>0</v>
          </cell>
          <cell r="EC434">
            <v>0</v>
          </cell>
        </row>
        <row r="435">
          <cell r="D435">
            <v>1</v>
          </cell>
          <cell r="E435">
            <v>0</v>
          </cell>
          <cell r="F435">
            <v>0</v>
          </cell>
          <cell r="G435">
            <v>0</v>
          </cell>
          <cell r="H435">
            <v>3</v>
          </cell>
          <cell r="I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R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1</v>
          </cell>
          <cell r="Z435">
            <v>0</v>
          </cell>
          <cell r="AA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1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BA435">
            <v>0</v>
          </cell>
          <cell r="BB435">
            <v>0</v>
          </cell>
          <cell r="BH435">
            <v>0</v>
          </cell>
          <cell r="BI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U435">
            <v>0</v>
          </cell>
          <cell r="BV435">
            <v>0</v>
          </cell>
          <cell r="BW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N435">
            <v>0</v>
          </cell>
          <cell r="CO435">
            <v>0</v>
          </cell>
          <cell r="CP435">
            <v>0</v>
          </cell>
          <cell r="CS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H435">
            <v>0</v>
          </cell>
          <cell r="DL435">
            <v>0</v>
          </cell>
          <cell r="DM435">
            <v>0</v>
          </cell>
          <cell r="DO435">
            <v>0</v>
          </cell>
          <cell r="DQ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</row>
        <row r="436">
          <cell r="D436">
            <v>1</v>
          </cell>
          <cell r="E436">
            <v>0</v>
          </cell>
          <cell r="F436">
            <v>0</v>
          </cell>
          <cell r="G436">
            <v>0</v>
          </cell>
          <cell r="H436">
            <v>1</v>
          </cell>
          <cell r="I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R436">
            <v>0</v>
          </cell>
          <cell r="V436">
            <v>0</v>
          </cell>
          <cell r="W436">
            <v>0</v>
          </cell>
          <cell r="X436">
            <v>4</v>
          </cell>
          <cell r="Y436">
            <v>1</v>
          </cell>
          <cell r="Z436">
            <v>0</v>
          </cell>
          <cell r="AA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BA436">
            <v>0</v>
          </cell>
          <cell r="BB436">
            <v>0</v>
          </cell>
          <cell r="BH436">
            <v>0</v>
          </cell>
          <cell r="BI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U436">
            <v>0</v>
          </cell>
          <cell r="BV436">
            <v>0</v>
          </cell>
          <cell r="BW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N436">
            <v>0</v>
          </cell>
          <cell r="CO436">
            <v>0</v>
          </cell>
          <cell r="CP436">
            <v>0</v>
          </cell>
          <cell r="CS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H436">
            <v>0</v>
          </cell>
          <cell r="DL436">
            <v>0</v>
          </cell>
          <cell r="DM436">
            <v>0</v>
          </cell>
          <cell r="DO436">
            <v>0</v>
          </cell>
          <cell r="DQ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0</v>
          </cell>
          <cell r="EB436">
            <v>0</v>
          </cell>
          <cell r="EC436">
            <v>0</v>
          </cell>
        </row>
        <row r="437"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R437">
            <v>0</v>
          </cell>
          <cell r="V437">
            <v>0</v>
          </cell>
          <cell r="W437">
            <v>0</v>
          </cell>
          <cell r="X437">
            <v>1</v>
          </cell>
          <cell r="Y437">
            <v>0</v>
          </cell>
          <cell r="Z437">
            <v>0</v>
          </cell>
          <cell r="AA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BA437">
            <v>0</v>
          </cell>
          <cell r="BB437">
            <v>0</v>
          </cell>
          <cell r="BH437">
            <v>0</v>
          </cell>
          <cell r="BI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U437">
            <v>0</v>
          </cell>
          <cell r="BV437">
            <v>0</v>
          </cell>
          <cell r="BW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N437">
            <v>0</v>
          </cell>
          <cell r="CO437">
            <v>0</v>
          </cell>
          <cell r="CP437">
            <v>0</v>
          </cell>
          <cell r="CS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L437">
            <v>0</v>
          </cell>
          <cell r="DM437">
            <v>0</v>
          </cell>
          <cell r="DO437">
            <v>0</v>
          </cell>
          <cell r="DQ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</row>
        <row r="438"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1</v>
          </cell>
          <cell r="R438">
            <v>0</v>
          </cell>
          <cell r="V438">
            <v>3</v>
          </cell>
          <cell r="W438">
            <v>3</v>
          </cell>
          <cell r="X438">
            <v>2</v>
          </cell>
          <cell r="Y438">
            <v>3</v>
          </cell>
          <cell r="Z438">
            <v>0</v>
          </cell>
          <cell r="AA438">
            <v>0</v>
          </cell>
          <cell r="AE438">
            <v>2</v>
          </cell>
          <cell r="AF438">
            <v>2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  <cell r="AL438">
            <v>1</v>
          </cell>
          <cell r="AN438">
            <v>1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U438">
            <v>0</v>
          </cell>
          <cell r="AV438">
            <v>0</v>
          </cell>
          <cell r="AW438">
            <v>1</v>
          </cell>
          <cell r="AX438">
            <v>1</v>
          </cell>
          <cell r="AY438">
            <v>1</v>
          </cell>
          <cell r="BA438">
            <v>0</v>
          </cell>
          <cell r="BB438">
            <v>0</v>
          </cell>
          <cell r="BH438">
            <v>0</v>
          </cell>
          <cell r="BI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U438">
            <v>0</v>
          </cell>
          <cell r="BV438">
            <v>0</v>
          </cell>
          <cell r="BW438">
            <v>1</v>
          </cell>
          <cell r="BZ438">
            <v>2</v>
          </cell>
          <cell r="CA438">
            <v>1</v>
          </cell>
          <cell r="CB438">
            <v>2</v>
          </cell>
          <cell r="CC438">
            <v>0</v>
          </cell>
          <cell r="CD438">
            <v>0</v>
          </cell>
          <cell r="CE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N438">
            <v>0</v>
          </cell>
          <cell r="CO438">
            <v>0</v>
          </cell>
          <cell r="CP438">
            <v>0</v>
          </cell>
          <cell r="CS438">
            <v>0</v>
          </cell>
          <cell r="CU438">
            <v>2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H438">
            <v>0</v>
          </cell>
          <cell r="DL438">
            <v>0</v>
          </cell>
          <cell r="DM438">
            <v>0</v>
          </cell>
          <cell r="DO438">
            <v>0</v>
          </cell>
          <cell r="DQ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</row>
        <row r="439"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R439">
            <v>0</v>
          </cell>
          <cell r="V439">
            <v>1</v>
          </cell>
          <cell r="W439">
            <v>0</v>
          </cell>
          <cell r="X439">
            <v>1</v>
          </cell>
          <cell r="Y439">
            <v>0</v>
          </cell>
          <cell r="Z439">
            <v>0</v>
          </cell>
          <cell r="AA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BA439">
            <v>0</v>
          </cell>
          <cell r="BB439">
            <v>0</v>
          </cell>
          <cell r="BH439">
            <v>0</v>
          </cell>
          <cell r="BI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U439">
            <v>0</v>
          </cell>
          <cell r="BV439">
            <v>0</v>
          </cell>
          <cell r="BW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N439">
            <v>0</v>
          </cell>
          <cell r="CO439">
            <v>0</v>
          </cell>
          <cell r="CP439">
            <v>0</v>
          </cell>
          <cell r="CS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L439">
            <v>0</v>
          </cell>
          <cell r="DM439">
            <v>0</v>
          </cell>
          <cell r="DO439">
            <v>0</v>
          </cell>
          <cell r="DQ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</row>
        <row r="440"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R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1</v>
          </cell>
          <cell r="BA440">
            <v>0</v>
          </cell>
          <cell r="BB440">
            <v>0</v>
          </cell>
          <cell r="BH440">
            <v>0</v>
          </cell>
          <cell r="BI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U440">
            <v>0</v>
          </cell>
          <cell r="BV440">
            <v>0</v>
          </cell>
          <cell r="BW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N440">
            <v>0</v>
          </cell>
          <cell r="CO440">
            <v>0</v>
          </cell>
          <cell r="CP440">
            <v>0</v>
          </cell>
          <cell r="CS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H440">
            <v>0</v>
          </cell>
          <cell r="DL440">
            <v>0</v>
          </cell>
          <cell r="DM440">
            <v>0</v>
          </cell>
          <cell r="DO440">
            <v>0</v>
          </cell>
          <cell r="DQ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</row>
        <row r="441"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R441">
            <v>0</v>
          </cell>
          <cell r="V441">
            <v>1</v>
          </cell>
          <cell r="W441">
            <v>1</v>
          </cell>
          <cell r="X441">
            <v>0</v>
          </cell>
          <cell r="Y441">
            <v>2</v>
          </cell>
          <cell r="Z441">
            <v>0</v>
          </cell>
          <cell r="AA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BA441">
            <v>0</v>
          </cell>
          <cell r="BB441">
            <v>0</v>
          </cell>
          <cell r="BH441">
            <v>0</v>
          </cell>
          <cell r="BI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U441">
            <v>0</v>
          </cell>
          <cell r="BV441">
            <v>0</v>
          </cell>
          <cell r="BW441">
            <v>0</v>
          </cell>
          <cell r="BZ441">
            <v>1</v>
          </cell>
          <cell r="CA441">
            <v>0</v>
          </cell>
          <cell r="CB441">
            <v>1</v>
          </cell>
          <cell r="CC441">
            <v>0</v>
          </cell>
          <cell r="CD441">
            <v>0</v>
          </cell>
          <cell r="CE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N441">
            <v>0</v>
          </cell>
          <cell r="CO441">
            <v>0</v>
          </cell>
          <cell r="CP441">
            <v>0</v>
          </cell>
          <cell r="CS441">
            <v>0</v>
          </cell>
          <cell r="CU441">
            <v>1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H441">
            <v>0</v>
          </cell>
          <cell r="DL441">
            <v>0</v>
          </cell>
          <cell r="DM441">
            <v>0</v>
          </cell>
          <cell r="DO441">
            <v>0</v>
          </cell>
          <cell r="DQ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</row>
        <row r="442"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R442">
            <v>0</v>
          </cell>
          <cell r="V442">
            <v>0</v>
          </cell>
          <cell r="W442">
            <v>0</v>
          </cell>
          <cell r="X442">
            <v>1</v>
          </cell>
          <cell r="Y442">
            <v>1</v>
          </cell>
          <cell r="Z442">
            <v>0</v>
          </cell>
          <cell r="AA442">
            <v>0</v>
          </cell>
          <cell r="AE442">
            <v>1</v>
          </cell>
          <cell r="AF442">
            <v>1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BA442">
            <v>0</v>
          </cell>
          <cell r="BB442">
            <v>0</v>
          </cell>
          <cell r="BH442">
            <v>0</v>
          </cell>
          <cell r="BI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U442">
            <v>0</v>
          </cell>
          <cell r="BV442">
            <v>0</v>
          </cell>
          <cell r="BW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N442">
            <v>0</v>
          </cell>
          <cell r="CO442">
            <v>0</v>
          </cell>
          <cell r="CP442">
            <v>0</v>
          </cell>
          <cell r="CS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L442">
            <v>0</v>
          </cell>
          <cell r="DM442">
            <v>0</v>
          </cell>
          <cell r="DO442">
            <v>0</v>
          </cell>
          <cell r="DQ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</row>
        <row r="443"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R443">
            <v>0</v>
          </cell>
          <cell r="V443">
            <v>0</v>
          </cell>
          <cell r="W443">
            <v>0</v>
          </cell>
          <cell r="X443">
            <v>2</v>
          </cell>
          <cell r="Y443">
            <v>0</v>
          </cell>
          <cell r="Z443">
            <v>0</v>
          </cell>
          <cell r="AA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2</v>
          </cell>
          <cell r="AK443">
            <v>0</v>
          </cell>
          <cell r="AL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BA443">
            <v>0</v>
          </cell>
          <cell r="BB443">
            <v>0</v>
          </cell>
          <cell r="BH443">
            <v>0</v>
          </cell>
          <cell r="BI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U443">
            <v>0</v>
          </cell>
          <cell r="BV443">
            <v>0</v>
          </cell>
          <cell r="BW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N443">
            <v>0</v>
          </cell>
          <cell r="CO443">
            <v>0</v>
          </cell>
          <cell r="CP443">
            <v>0</v>
          </cell>
          <cell r="CS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L443">
            <v>0</v>
          </cell>
          <cell r="DM443">
            <v>0</v>
          </cell>
          <cell r="DO443">
            <v>0</v>
          </cell>
          <cell r="DQ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</row>
        <row r="444"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R444">
            <v>0</v>
          </cell>
          <cell r="V444">
            <v>1</v>
          </cell>
          <cell r="W444">
            <v>1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2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BA444">
            <v>0</v>
          </cell>
          <cell r="BB444">
            <v>0</v>
          </cell>
          <cell r="BH444">
            <v>0</v>
          </cell>
          <cell r="BI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U444">
            <v>0</v>
          </cell>
          <cell r="BV444">
            <v>0</v>
          </cell>
          <cell r="BW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N444">
            <v>0</v>
          </cell>
          <cell r="CO444">
            <v>0</v>
          </cell>
          <cell r="CP444">
            <v>0</v>
          </cell>
          <cell r="CS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H444">
            <v>0</v>
          </cell>
          <cell r="DL444">
            <v>0</v>
          </cell>
          <cell r="DM444">
            <v>0</v>
          </cell>
          <cell r="DO444">
            <v>0</v>
          </cell>
          <cell r="DQ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</row>
        <row r="445"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R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</v>
          </cell>
          <cell r="Z445">
            <v>0</v>
          </cell>
          <cell r="AA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BA445">
            <v>0</v>
          </cell>
          <cell r="BB445">
            <v>0</v>
          </cell>
          <cell r="BH445">
            <v>0</v>
          </cell>
          <cell r="BI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U445">
            <v>0</v>
          </cell>
          <cell r="BV445">
            <v>0</v>
          </cell>
          <cell r="BW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N445">
            <v>0</v>
          </cell>
          <cell r="CO445">
            <v>0</v>
          </cell>
          <cell r="CP445">
            <v>0</v>
          </cell>
          <cell r="CS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H445">
            <v>0</v>
          </cell>
          <cell r="DL445">
            <v>0</v>
          </cell>
          <cell r="DM445">
            <v>0</v>
          </cell>
          <cell r="DO445">
            <v>0</v>
          </cell>
          <cell r="DQ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</row>
        <row r="446"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R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E446">
            <v>1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BA446">
            <v>0</v>
          </cell>
          <cell r="BB446">
            <v>0</v>
          </cell>
          <cell r="BH446">
            <v>0</v>
          </cell>
          <cell r="BI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U446">
            <v>0</v>
          </cell>
          <cell r="BV446">
            <v>0</v>
          </cell>
          <cell r="BW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N446">
            <v>0</v>
          </cell>
          <cell r="CO446">
            <v>0</v>
          </cell>
          <cell r="CP446">
            <v>0</v>
          </cell>
          <cell r="CS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L446">
            <v>0</v>
          </cell>
          <cell r="DM446">
            <v>0</v>
          </cell>
          <cell r="DO446">
            <v>0</v>
          </cell>
          <cell r="DQ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</row>
        <row r="447"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R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2</v>
          </cell>
          <cell r="AK447">
            <v>0</v>
          </cell>
          <cell r="AL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BA447">
            <v>0</v>
          </cell>
          <cell r="BB447">
            <v>0</v>
          </cell>
          <cell r="BH447">
            <v>0</v>
          </cell>
          <cell r="BI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U447">
            <v>0</v>
          </cell>
          <cell r="BV447">
            <v>0</v>
          </cell>
          <cell r="BW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N447">
            <v>0</v>
          </cell>
          <cell r="CO447">
            <v>0</v>
          </cell>
          <cell r="CP447">
            <v>0</v>
          </cell>
          <cell r="CS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H447">
            <v>0</v>
          </cell>
          <cell r="DL447">
            <v>0</v>
          </cell>
          <cell r="DM447">
            <v>0</v>
          </cell>
          <cell r="DO447">
            <v>0</v>
          </cell>
          <cell r="DQ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</row>
        <row r="448">
          <cell r="D448">
            <v>0</v>
          </cell>
          <cell r="E448">
            <v>1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R448">
            <v>0</v>
          </cell>
          <cell r="V448">
            <v>1</v>
          </cell>
          <cell r="W448">
            <v>1</v>
          </cell>
          <cell r="X448">
            <v>1</v>
          </cell>
          <cell r="Y448">
            <v>4</v>
          </cell>
          <cell r="Z448">
            <v>0</v>
          </cell>
          <cell r="AA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  <cell r="AL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1</v>
          </cell>
          <cell r="BA448">
            <v>0</v>
          </cell>
          <cell r="BB448">
            <v>0</v>
          </cell>
          <cell r="BH448">
            <v>0</v>
          </cell>
          <cell r="BI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U448">
            <v>0</v>
          </cell>
          <cell r="BV448">
            <v>0</v>
          </cell>
          <cell r="BW448">
            <v>1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N448">
            <v>0</v>
          </cell>
          <cell r="CO448">
            <v>0</v>
          </cell>
          <cell r="CP448">
            <v>0</v>
          </cell>
          <cell r="CS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H448">
            <v>0</v>
          </cell>
          <cell r="DL448">
            <v>0</v>
          </cell>
          <cell r="DM448">
            <v>0</v>
          </cell>
          <cell r="DO448">
            <v>0</v>
          </cell>
          <cell r="DQ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</row>
        <row r="449"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R449">
            <v>0</v>
          </cell>
          <cell r="V449">
            <v>0</v>
          </cell>
          <cell r="W449">
            <v>0</v>
          </cell>
          <cell r="X449">
            <v>2</v>
          </cell>
          <cell r="Y449">
            <v>0</v>
          </cell>
          <cell r="Z449">
            <v>0</v>
          </cell>
          <cell r="AA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N449">
            <v>1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1</v>
          </cell>
          <cell r="BA449">
            <v>0</v>
          </cell>
          <cell r="BB449">
            <v>0</v>
          </cell>
          <cell r="BH449">
            <v>0</v>
          </cell>
          <cell r="BI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U449">
            <v>0</v>
          </cell>
          <cell r="BV449">
            <v>0</v>
          </cell>
          <cell r="BW449">
            <v>1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N449">
            <v>0</v>
          </cell>
          <cell r="CO449">
            <v>0</v>
          </cell>
          <cell r="CP449">
            <v>0</v>
          </cell>
          <cell r="CS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H449">
            <v>0</v>
          </cell>
          <cell r="DL449">
            <v>0</v>
          </cell>
          <cell r="DM449">
            <v>0</v>
          </cell>
          <cell r="DO449">
            <v>0</v>
          </cell>
          <cell r="DQ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</row>
        <row r="450"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R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1</v>
          </cell>
          <cell r="Z450">
            <v>0</v>
          </cell>
          <cell r="AA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BA450">
            <v>0</v>
          </cell>
          <cell r="BB450">
            <v>0</v>
          </cell>
          <cell r="BH450">
            <v>0</v>
          </cell>
          <cell r="BI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U450">
            <v>0</v>
          </cell>
          <cell r="BV450">
            <v>0</v>
          </cell>
          <cell r="BW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N450">
            <v>0</v>
          </cell>
          <cell r="CO450">
            <v>0</v>
          </cell>
          <cell r="CP450">
            <v>0</v>
          </cell>
          <cell r="CS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H450">
            <v>0</v>
          </cell>
          <cell r="DL450">
            <v>0</v>
          </cell>
          <cell r="DM450">
            <v>0</v>
          </cell>
          <cell r="DO450">
            <v>0</v>
          </cell>
          <cell r="DQ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</row>
        <row r="451"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R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BA451">
            <v>0</v>
          </cell>
          <cell r="BB451">
            <v>0</v>
          </cell>
          <cell r="BH451">
            <v>0</v>
          </cell>
          <cell r="BI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U451">
            <v>0</v>
          </cell>
          <cell r="BV451">
            <v>0</v>
          </cell>
          <cell r="BW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N451">
            <v>0</v>
          </cell>
          <cell r="CO451">
            <v>0</v>
          </cell>
          <cell r="CP451">
            <v>0</v>
          </cell>
          <cell r="CS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H451">
            <v>0</v>
          </cell>
          <cell r="DL451">
            <v>0</v>
          </cell>
          <cell r="DM451">
            <v>0</v>
          </cell>
          <cell r="DO451">
            <v>0</v>
          </cell>
          <cell r="DQ451">
            <v>0</v>
          </cell>
          <cell r="DW451">
            <v>0</v>
          </cell>
          <cell r="DX451">
            <v>0</v>
          </cell>
          <cell r="DY451">
            <v>1</v>
          </cell>
          <cell r="DZ451">
            <v>0</v>
          </cell>
          <cell r="EA451">
            <v>0</v>
          </cell>
          <cell r="EB451">
            <v>0</v>
          </cell>
          <cell r="EC451">
            <v>2</v>
          </cell>
        </row>
        <row r="452"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R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BA452">
            <v>0</v>
          </cell>
          <cell r="BB452">
            <v>0</v>
          </cell>
          <cell r="BH452">
            <v>0</v>
          </cell>
          <cell r="BI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U452">
            <v>0</v>
          </cell>
          <cell r="BV452">
            <v>0</v>
          </cell>
          <cell r="BW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H452">
            <v>1</v>
          </cell>
          <cell r="CI452">
            <v>0</v>
          </cell>
          <cell r="CJ452">
            <v>0</v>
          </cell>
          <cell r="CK452">
            <v>0</v>
          </cell>
          <cell r="CN452">
            <v>0</v>
          </cell>
          <cell r="CO452">
            <v>0</v>
          </cell>
          <cell r="CP452">
            <v>0</v>
          </cell>
          <cell r="CS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L452">
            <v>0</v>
          </cell>
          <cell r="DM452">
            <v>0</v>
          </cell>
          <cell r="DO452">
            <v>0</v>
          </cell>
          <cell r="DQ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</row>
        <row r="453"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R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BA453">
            <v>0</v>
          </cell>
          <cell r="BB453">
            <v>0</v>
          </cell>
          <cell r="BH453">
            <v>0</v>
          </cell>
          <cell r="BI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U453">
            <v>0</v>
          </cell>
          <cell r="BV453">
            <v>7</v>
          </cell>
          <cell r="BW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N453">
            <v>0</v>
          </cell>
          <cell r="CO453">
            <v>0</v>
          </cell>
          <cell r="CP453">
            <v>0</v>
          </cell>
          <cell r="CS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L453">
            <v>0</v>
          </cell>
          <cell r="DM453">
            <v>0</v>
          </cell>
          <cell r="DO453">
            <v>0</v>
          </cell>
          <cell r="DQ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</row>
        <row r="454"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R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BA454">
            <v>0</v>
          </cell>
          <cell r="BB454">
            <v>0</v>
          </cell>
          <cell r="BH454">
            <v>0</v>
          </cell>
          <cell r="BI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U454">
            <v>0</v>
          </cell>
          <cell r="BV454">
            <v>0</v>
          </cell>
          <cell r="BW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1</v>
          </cell>
          <cell r="CE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N454">
            <v>0</v>
          </cell>
          <cell r="CO454">
            <v>0</v>
          </cell>
          <cell r="CP454">
            <v>1</v>
          </cell>
          <cell r="CS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L454">
            <v>1</v>
          </cell>
          <cell r="DM454">
            <v>0</v>
          </cell>
          <cell r="DO454">
            <v>0</v>
          </cell>
          <cell r="DQ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</row>
        <row r="455"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R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BA455">
            <v>0</v>
          </cell>
          <cell r="BB455">
            <v>0</v>
          </cell>
          <cell r="BH455">
            <v>0</v>
          </cell>
          <cell r="BI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U455">
            <v>0</v>
          </cell>
          <cell r="BV455">
            <v>0</v>
          </cell>
          <cell r="BW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H455">
            <v>0</v>
          </cell>
          <cell r="CI455">
            <v>1</v>
          </cell>
          <cell r="CJ455">
            <v>1</v>
          </cell>
          <cell r="CK455">
            <v>0</v>
          </cell>
          <cell r="CN455">
            <v>0</v>
          </cell>
          <cell r="CO455">
            <v>0</v>
          </cell>
          <cell r="CP455">
            <v>0</v>
          </cell>
          <cell r="CS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L455">
            <v>0</v>
          </cell>
          <cell r="DM455">
            <v>0</v>
          </cell>
          <cell r="DO455">
            <v>0</v>
          </cell>
          <cell r="DQ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</row>
        <row r="456"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R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BA456">
            <v>0</v>
          </cell>
          <cell r="BB456">
            <v>0</v>
          </cell>
          <cell r="BH456">
            <v>0</v>
          </cell>
          <cell r="BI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U456">
            <v>0</v>
          </cell>
          <cell r="BV456">
            <v>1</v>
          </cell>
          <cell r="BW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N456">
            <v>0</v>
          </cell>
          <cell r="CO456">
            <v>0</v>
          </cell>
          <cell r="CP456">
            <v>0</v>
          </cell>
          <cell r="CS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L456">
            <v>0</v>
          </cell>
          <cell r="DM456">
            <v>0</v>
          </cell>
          <cell r="DO456">
            <v>0</v>
          </cell>
          <cell r="DQ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</row>
        <row r="457"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R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BA457">
            <v>0</v>
          </cell>
          <cell r="BB457">
            <v>0</v>
          </cell>
          <cell r="BH457">
            <v>0</v>
          </cell>
          <cell r="BI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U457">
            <v>0</v>
          </cell>
          <cell r="BV457">
            <v>0</v>
          </cell>
          <cell r="BW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H457">
            <v>1</v>
          </cell>
          <cell r="CI457">
            <v>1</v>
          </cell>
          <cell r="CJ457">
            <v>1</v>
          </cell>
          <cell r="CK457">
            <v>0</v>
          </cell>
          <cell r="CN457">
            <v>0</v>
          </cell>
          <cell r="CO457">
            <v>0</v>
          </cell>
          <cell r="CP457">
            <v>0</v>
          </cell>
          <cell r="CS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L457">
            <v>0</v>
          </cell>
          <cell r="DM457">
            <v>0</v>
          </cell>
          <cell r="DO457">
            <v>0</v>
          </cell>
          <cell r="DQ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</row>
        <row r="458"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R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BA458">
            <v>0</v>
          </cell>
          <cell r="BB458">
            <v>0</v>
          </cell>
          <cell r="BH458">
            <v>0</v>
          </cell>
          <cell r="BI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U458">
            <v>0</v>
          </cell>
          <cell r="BV458">
            <v>0</v>
          </cell>
          <cell r="BW458">
            <v>0</v>
          </cell>
          <cell r="BZ458">
            <v>0</v>
          </cell>
          <cell r="CA458">
            <v>0</v>
          </cell>
          <cell r="CB458">
            <v>1</v>
          </cell>
          <cell r="CC458">
            <v>0</v>
          </cell>
          <cell r="CD458">
            <v>0</v>
          </cell>
          <cell r="CE458">
            <v>0</v>
          </cell>
          <cell r="CH458">
            <v>1</v>
          </cell>
          <cell r="CI458">
            <v>0</v>
          </cell>
          <cell r="CJ458">
            <v>0</v>
          </cell>
          <cell r="CK458">
            <v>0</v>
          </cell>
          <cell r="CN458">
            <v>0</v>
          </cell>
          <cell r="CO458">
            <v>0</v>
          </cell>
          <cell r="CP458">
            <v>0</v>
          </cell>
          <cell r="CS458">
            <v>0</v>
          </cell>
          <cell r="CU458">
            <v>1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L458">
            <v>0</v>
          </cell>
          <cell r="DM458">
            <v>0</v>
          </cell>
          <cell r="DO458">
            <v>0</v>
          </cell>
          <cell r="DQ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</row>
        <row r="459"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R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BA459">
            <v>0</v>
          </cell>
          <cell r="BB459">
            <v>0</v>
          </cell>
          <cell r="BH459">
            <v>0</v>
          </cell>
          <cell r="BI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U459">
            <v>0</v>
          </cell>
          <cell r="BV459">
            <v>0</v>
          </cell>
          <cell r="BW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N459">
            <v>0</v>
          </cell>
          <cell r="CO459">
            <v>0</v>
          </cell>
          <cell r="CP459">
            <v>0</v>
          </cell>
          <cell r="CS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1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L459">
            <v>0</v>
          </cell>
          <cell r="DM459">
            <v>0</v>
          </cell>
          <cell r="DO459">
            <v>0</v>
          </cell>
          <cell r="DQ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</row>
        <row r="460"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R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BA460">
            <v>0</v>
          </cell>
          <cell r="BB460">
            <v>0</v>
          </cell>
          <cell r="BH460">
            <v>0</v>
          </cell>
          <cell r="BI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U460">
            <v>0</v>
          </cell>
          <cell r="BV460">
            <v>0</v>
          </cell>
          <cell r="BW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N460">
            <v>0</v>
          </cell>
          <cell r="CO460">
            <v>0</v>
          </cell>
          <cell r="CP460">
            <v>0</v>
          </cell>
          <cell r="CS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L460">
            <v>0</v>
          </cell>
          <cell r="DM460">
            <v>0</v>
          </cell>
          <cell r="DO460">
            <v>0</v>
          </cell>
          <cell r="DQ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</row>
        <row r="461"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R461">
            <v>0</v>
          </cell>
          <cell r="V461">
            <v>0</v>
          </cell>
          <cell r="W461">
            <v>1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BA461">
            <v>0</v>
          </cell>
          <cell r="BB461">
            <v>0</v>
          </cell>
          <cell r="BH461">
            <v>0</v>
          </cell>
          <cell r="BI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U461">
            <v>1</v>
          </cell>
          <cell r="BV461">
            <v>1</v>
          </cell>
          <cell r="BW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2</v>
          </cell>
          <cell r="CN461">
            <v>2</v>
          </cell>
          <cell r="CO461">
            <v>1</v>
          </cell>
          <cell r="CP461">
            <v>0</v>
          </cell>
          <cell r="CS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1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1</v>
          </cell>
          <cell r="DG461">
            <v>0</v>
          </cell>
          <cell r="DH461">
            <v>0</v>
          </cell>
          <cell r="DL461">
            <v>0</v>
          </cell>
          <cell r="DM461">
            <v>0</v>
          </cell>
          <cell r="DO461">
            <v>0</v>
          </cell>
          <cell r="DQ461">
            <v>0</v>
          </cell>
          <cell r="DW461">
            <v>2</v>
          </cell>
          <cell r="DX461">
            <v>0</v>
          </cell>
          <cell r="DY461">
            <v>3</v>
          </cell>
          <cell r="DZ461">
            <v>0</v>
          </cell>
          <cell r="EA461">
            <v>0</v>
          </cell>
          <cell r="EB461">
            <v>0</v>
          </cell>
          <cell r="EC461">
            <v>3</v>
          </cell>
        </row>
        <row r="462"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R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BA462">
            <v>0</v>
          </cell>
          <cell r="BB462">
            <v>0</v>
          </cell>
          <cell r="BH462">
            <v>0</v>
          </cell>
          <cell r="BI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U462">
            <v>0</v>
          </cell>
          <cell r="BV462">
            <v>0</v>
          </cell>
          <cell r="BW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N462">
            <v>1</v>
          </cell>
          <cell r="CO462">
            <v>0</v>
          </cell>
          <cell r="CP462">
            <v>0</v>
          </cell>
          <cell r="CS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L462">
            <v>0</v>
          </cell>
          <cell r="DM462">
            <v>0</v>
          </cell>
          <cell r="DO462">
            <v>0</v>
          </cell>
          <cell r="DQ462">
            <v>0</v>
          </cell>
          <cell r="DW462">
            <v>0</v>
          </cell>
          <cell r="DX462">
            <v>0</v>
          </cell>
          <cell r="DY462">
            <v>0</v>
          </cell>
          <cell r="DZ462">
            <v>0</v>
          </cell>
          <cell r="EA462">
            <v>0</v>
          </cell>
          <cell r="EB462">
            <v>0</v>
          </cell>
          <cell r="EC462">
            <v>0</v>
          </cell>
        </row>
        <row r="463"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R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BA463">
            <v>0</v>
          </cell>
          <cell r="BB463">
            <v>0</v>
          </cell>
          <cell r="BH463">
            <v>0</v>
          </cell>
          <cell r="BI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U463">
            <v>0</v>
          </cell>
          <cell r="BV463">
            <v>0</v>
          </cell>
          <cell r="BW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H463">
            <v>1</v>
          </cell>
          <cell r="CI463">
            <v>0</v>
          </cell>
          <cell r="CJ463">
            <v>0</v>
          </cell>
          <cell r="CK463">
            <v>0</v>
          </cell>
          <cell r="CN463">
            <v>0</v>
          </cell>
          <cell r="CO463">
            <v>0</v>
          </cell>
          <cell r="CP463">
            <v>0</v>
          </cell>
          <cell r="CS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L463">
            <v>0</v>
          </cell>
          <cell r="DM463">
            <v>0</v>
          </cell>
          <cell r="DO463">
            <v>0</v>
          </cell>
          <cell r="DQ463">
            <v>0</v>
          </cell>
          <cell r="DW463">
            <v>0</v>
          </cell>
          <cell r="DX463">
            <v>0</v>
          </cell>
          <cell r="DY463">
            <v>0</v>
          </cell>
          <cell r="DZ463">
            <v>0</v>
          </cell>
          <cell r="EA463">
            <v>0</v>
          </cell>
          <cell r="EB463">
            <v>0</v>
          </cell>
          <cell r="EC463">
            <v>0</v>
          </cell>
        </row>
        <row r="464"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R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BA464">
            <v>0</v>
          </cell>
          <cell r="BB464">
            <v>0</v>
          </cell>
          <cell r="BH464">
            <v>0</v>
          </cell>
          <cell r="BI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U464">
            <v>0</v>
          </cell>
          <cell r="BV464">
            <v>0</v>
          </cell>
          <cell r="BW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N464">
            <v>0</v>
          </cell>
          <cell r="CO464">
            <v>0</v>
          </cell>
          <cell r="CP464">
            <v>0</v>
          </cell>
          <cell r="CS464">
            <v>1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L464">
            <v>0</v>
          </cell>
          <cell r="DM464">
            <v>0</v>
          </cell>
          <cell r="DO464">
            <v>0</v>
          </cell>
          <cell r="DQ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</row>
        <row r="465"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R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1</v>
          </cell>
          <cell r="AS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BA465">
            <v>0</v>
          </cell>
          <cell r="BB465">
            <v>0</v>
          </cell>
          <cell r="BH465">
            <v>0</v>
          </cell>
          <cell r="BI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U465">
            <v>0</v>
          </cell>
          <cell r="BV465">
            <v>0</v>
          </cell>
          <cell r="BW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1</v>
          </cell>
          <cell r="CN465">
            <v>1</v>
          </cell>
          <cell r="CO465">
            <v>1</v>
          </cell>
          <cell r="CP465">
            <v>1</v>
          </cell>
          <cell r="CS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1</v>
          </cell>
          <cell r="CY465">
            <v>0</v>
          </cell>
          <cell r="CZ465">
            <v>1</v>
          </cell>
          <cell r="DB465">
            <v>0</v>
          </cell>
          <cell r="DC465">
            <v>1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L465">
            <v>0</v>
          </cell>
          <cell r="DM465">
            <v>0</v>
          </cell>
          <cell r="DO465">
            <v>0</v>
          </cell>
          <cell r="DQ465">
            <v>0</v>
          </cell>
          <cell r="DW465">
            <v>0</v>
          </cell>
          <cell r="DX465">
            <v>0</v>
          </cell>
          <cell r="DY465">
            <v>1</v>
          </cell>
          <cell r="DZ465">
            <v>0</v>
          </cell>
          <cell r="EA465">
            <v>0</v>
          </cell>
          <cell r="EB465">
            <v>0</v>
          </cell>
          <cell r="EC465">
            <v>1</v>
          </cell>
        </row>
        <row r="466"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R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BA466">
            <v>0</v>
          </cell>
          <cell r="BB466">
            <v>0</v>
          </cell>
          <cell r="BH466">
            <v>0</v>
          </cell>
          <cell r="BI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U466">
            <v>0</v>
          </cell>
          <cell r="BV466">
            <v>0</v>
          </cell>
          <cell r="BW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N466">
            <v>0</v>
          </cell>
          <cell r="CO466">
            <v>0</v>
          </cell>
          <cell r="CP466">
            <v>0</v>
          </cell>
          <cell r="CS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B466">
            <v>0</v>
          </cell>
          <cell r="DC466">
            <v>1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H466">
            <v>0</v>
          </cell>
          <cell r="DL466">
            <v>0</v>
          </cell>
          <cell r="DM466">
            <v>0</v>
          </cell>
          <cell r="DO466">
            <v>0</v>
          </cell>
          <cell r="DQ466">
            <v>0</v>
          </cell>
          <cell r="DW466">
            <v>0</v>
          </cell>
          <cell r="DX466">
            <v>0</v>
          </cell>
          <cell r="DY466">
            <v>0</v>
          </cell>
          <cell r="DZ466">
            <v>0</v>
          </cell>
          <cell r="EA466">
            <v>0</v>
          </cell>
          <cell r="EB466">
            <v>0</v>
          </cell>
          <cell r="EC466">
            <v>0</v>
          </cell>
        </row>
        <row r="467"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R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BA467">
            <v>0</v>
          </cell>
          <cell r="BB467">
            <v>0</v>
          </cell>
          <cell r="BH467">
            <v>0</v>
          </cell>
          <cell r="BI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U467">
            <v>1</v>
          </cell>
          <cell r="BV467">
            <v>0</v>
          </cell>
          <cell r="BW467">
            <v>0</v>
          </cell>
          <cell r="BZ467">
            <v>3</v>
          </cell>
          <cell r="CA467">
            <v>0</v>
          </cell>
          <cell r="CB467">
            <v>3</v>
          </cell>
          <cell r="CC467">
            <v>0</v>
          </cell>
          <cell r="CD467">
            <v>0</v>
          </cell>
          <cell r="CE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N467">
            <v>0</v>
          </cell>
          <cell r="CO467">
            <v>0</v>
          </cell>
          <cell r="CP467">
            <v>0</v>
          </cell>
          <cell r="CS467">
            <v>0</v>
          </cell>
          <cell r="CU467">
            <v>3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L467">
            <v>0</v>
          </cell>
          <cell r="DM467">
            <v>0</v>
          </cell>
          <cell r="DO467">
            <v>0</v>
          </cell>
          <cell r="DQ467">
            <v>0</v>
          </cell>
          <cell r="DW467">
            <v>0</v>
          </cell>
          <cell r="DX467">
            <v>0</v>
          </cell>
          <cell r="DY467">
            <v>0</v>
          </cell>
          <cell r="DZ467">
            <v>0</v>
          </cell>
          <cell r="EA467">
            <v>0</v>
          </cell>
          <cell r="EB467">
            <v>0</v>
          </cell>
          <cell r="EC467">
            <v>0</v>
          </cell>
        </row>
        <row r="468"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R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BA468">
            <v>0</v>
          </cell>
          <cell r="BB468">
            <v>0</v>
          </cell>
          <cell r="BH468">
            <v>0</v>
          </cell>
          <cell r="BI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U468">
            <v>0</v>
          </cell>
          <cell r="BV468">
            <v>0</v>
          </cell>
          <cell r="BW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N468">
            <v>0</v>
          </cell>
          <cell r="CO468">
            <v>0</v>
          </cell>
          <cell r="CP468">
            <v>0</v>
          </cell>
          <cell r="CS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L468">
            <v>0</v>
          </cell>
          <cell r="DM468">
            <v>0</v>
          </cell>
          <cell r="DO468">
            <v>0</v>
          </cell>
          <cell r="DQ468">
            <v>0</v>
          </cell>
          <cell r="DW468">
            <v>1</v>
          </cell>
          <cell r="DX468">
            <v>0</v>
          </cell>
          <cell r="DY468">
            <v>0</v>
          </cell>
          <cell r="DZ468">
            <v>0</v>
          </cell>
          <cell r="EA468">
            <v>0</v>
          </cell>
          <cell r="EB468">
            <v>0</v>
          </cell>
          <cell r="EC468">
            <v>0</v>
          </cell>
        </row>
        <row r="469"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R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1</v>
          </cell>
          <cell r="AS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BA469">
            <v>0</v>
          </cell>
          <cell r="BB469">
            <v>0</v>
          </cell>
          <cell r="BH469">
            <v>0</v>
          </cell>
          <cell r="BI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U469">
            <v>0</v>
          </cell>
          <cell r="BV469">
            <v>0</v>
          </cell>
          <cell r="BW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H469">
            <v>1</v>
          </cell>
          <cell r="CI469">
            <v>0</v>
          </cell>
          <cell r="CJ469">
            <v>0</v>
          </cell>
          <cell r="CK469">
            <v>0</v>
          </cell>
          <cell r="CN469">
            <v>0</v>
          </cell>
          <cell r="CO469">
            <v>0</v>
          </cell>
          <cell r="CP469">
            <v>1</v>
          </cell>
          <cell r="CS469">
            <v>0</v>
          </cell>
          <cell r="CU469">
            <v>0</v>
          </cell>
          <cell r="CV469">
            <v>1</v>
          </cell>
          <cell r="CW469">
            <v>0</v>
          </cell>
          <cell r="CX469">
            <v>0</v>
          </cell>
          <cell r="CY469">
            <v>1</v>
          </cell>
          <cell r="CZ469">
            <v>1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H469">
            <v>0</v>
          </cell>
          <cell r="DL469">
            <v>0</v>
          </cell>
          <cell r="DM469">
            <v>0</v>
          </cell>
          <cell r="DO469">
            <v>0</v>
          </cell>
          <cell r="DQ469">
            <v>0</v>
          </cell>
          <cell r="DW469">
            <v>0</v>
          </cell>
          <cell r="DX469">
            <v>0</v>
          </cell>
          <cell r="DY469">
            <v>1</v>
          </cell>
          <cell r="DZ469">
            <v>0</v>
          </cell>
          <cell r="EA469">
            <v>0</v>
          </cell>
          <cell r="EB469">
            <v>0</v>
          </cell>
          <cell r="EC469">
            <v>1</v>
          </cell>
        </row>
        <row r="470"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R470">
            <v>0</v>
          </cell>
          <cell r="V470">
            <v>0</v>
          </cell>
          <cell r="W470">
            <v>1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BA470">
            <v>0</v>
          </cell>
          <cell r="BB470">
            <v>0</v>
          </cell>
          <cell r="BH470">
            <v>0</v>
          </cell>
          <cell r="BI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U470">
            <v>0</v>
          </cell>
          <cell r="BV470">
            <v>0</v>
          </cell>
          <cell r="BW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1</v>
          </cell>
          <cell r="CN470">
            <v>1</v>
          </cell>
          <cell r="CO470">
            <v>1</v>
          </cell>
          <cell r="CP470">
            <v>0</v>
          </cell>
          <cell r="CS470">
            <v>1</v>
          </cell>
          <cell r="CU470">
            <v>0</v>
          </cell>
          <cell r="CV470">
            <v>0</v>
          </cell>
          <cell r="CW470">
            <v>1</v>
          </cell>
          <cell r="CX470">
            <v>0</v>
          </cell>
          <cell r="CY470">
            <v>0</v>
          </cell>
          <cell r="CZ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1</v>
          </cell>
          <cell r="DG470">
            <v>0</v>
          </cell>
          <cell r="DH470">
            <v>0</v>
          </cell>
          <cell r="DL470">
            <v>1</v>
          </cell>
          <cell r="DM470">
            <v>1</v>
          </cell>
          <cell r="DO470">
            <v>0</v>
          </cell>
          <cell r="DQ470">
            <v>0</v>
          </cell>
          <cell r="DW470">
            <v>0</v>
          </cell>
          <cell r="DX470">
            <v>0</v>
          </cell>
          <cell r="DY470">
            <v>0</v>
          </cell>
          <cell r="DZ470">
            <v>0</v>
          </cell>
          <cell r="EA470">
            <v>0</v>
          </cell>
          <cell r="EB470">
            <v>0</v>
          </cell>
          <cell r="EC470">
            <v>0</v>
          </cell>
        </row>
        <row r="471"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R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BA471">
            <v>0</v>
          </cell>
          <cell r="BB471">
            <v>0</v>
          </cell>
          <cell r="BH471">
            <v>0</v>
          </cell>
          <cell r="BI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U471">
            <v>0</v>
          </cell>
          <cell r="BV471">
            <v>0</v>
          </cell>
          <cell r="BW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N471">
            <v>0</v>
          </cell>
          <cell r="CO471">
            <v>0</v>
          </cell>
          <cell r="CP471">
            <v>0</v>
          </cell>
          <cell r="CS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B471">
            <v>2</v>
          </cell>
          <cell r="DC471">
            <v>1</v>
          </cell>
          <cell r="DD471">
            <v>2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L471">
            <v>0</v>
          </cell>
          <cell r="DM471">
            <v>0</v>
          </cell>
          <cell r="DO471">
            <v>0</v>
          </cell>
          <cell r="DQ471">
            <v>0</v>
          </cell>
          <cell r="DW471">
            <v>0</v>
          </cell>
          <cell r="DX471">
            <v>0</v>
          </cell>
          <cell r="DY471">
            <v>3</v>
          </cell>
          <cell r="DZ471">
            <v>2</v>
          </cell>
          <cell r="EA471">
            <v>0</v>
          </cell>
          <cell r="EB471">
            <v>6</v>
          </cell>
          <cell r="EC471">
            <v>0</v>
          </cell>
        </row>
        <row r="472"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R472">
            <v>0</v>
          </cell>
          <cell r="V472">
            <v>0</v>
          </cell>
          <cell r="W472">
            <v>0</v>
          </cell>
          <cell r="X472">
            <v>1</v>
          </cell>
          <cell r="Y472">
            <v>0</v>
          </cell>
          <cell r="Z472">
            <v>0</v>
          </cell>
          <cell r="AA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5</v>
          </cell>
          <cell r="AI472">
            <v>9</v>
          </cell>
          <cell r="AJ472">
            <v>2</v>
          </cell>
          <cell r="AK472">
            <v>0</v>
          </cell>
          <cell r="AL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6</v>
          </cell>
          <cell r="AY472">
            <v>0</v>
          </cell>
          <cell r="BA472">
            <v>0</v>
          </cell>
          <cell r="BB472">
            <v>0</v>
          </cell>
          <cell r="BH472">
            <v>0</v>
          </cell>
          <cell r="BI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U472">
            <v>0</v>
          </cell>
          <cell r="BV472">
            <v>0</v>
          </cell>
          <cell r="BW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N472">
            <v>0</v>
          </cell>
          <cell r="CO472">
            <v>0</v>
          </cell>
          <cell r="CP472">
            <v>0</v>
          </cell>
          <cell r="CS472">
            <v>0</v>
          </cell>
          <cell r="CU472">
            <v>0</v>
          </cell>
          <cell r="CV472">
            <v>3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H472">
            <v>0</v>
          </cell>
          <cell r="DL472">
            <v>0</v>
          </cell>
          <cell r="DM472">
            <v>0</v>
          </cell>
          <cell r="DO472">
            <v>0</v>
          </cell>
          <cell r="DQ472">
            <v>0</v>
          </cell>
          <cell r="DW472">
            <v>0</v>
          </cell>
          <cell r="DX472">
            <v>0</v>
          </cell>
          <cell r="DY472">
            <v>0</v>
          </cell>
          <cell r="DZ472">
            <v>0</v>
          </cell>
          <cell r="EA472">
            <v>0</v>
          </cell>
          <cell r="EB472">
            <v>0</v>
          </cell>
          <cell r="EC472">
            <v>0</v>
          </cell>
        </row>
        <row r="473"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R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BA473">
            <v>0</v>
          </cell>
          <cell r="BB473">
            <v>0</v>
          </cell>
          <cell r="BH473">
            <v>0</v>
          </cell>
          <cell r="BI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U473">
            <v>0</v>
          </cell>
          <cell r="BV473">
            <v>0</v>
          </cell>
          <cell r="BW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N473">
            <v>0</v>
          </cell>
          <cell r="CO473">
            <v>0</v>
          </cell>
          <cell r="CP473">
            <v>0</v>
          </cell>
          <cell r="CS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L473">
            <v>0</v>
          </cell>
          <cell r="DM473">
            <v>0</v>
          </cell>
          <cell r="DO473">
            <v>0</v>
          </cell>
          <cell r="DQ473">
            <v>0</v>
          </cell>
          <cell r="DW473">
            <v>0</v>
          </cell>
          <cell r="DX473">
            <v>0</v>
          </cell>
          <cell r="DY473">
            <v>0</v>
          </cell>
          <cell r="DZ473">
            <v>0</v>
          </cell>
          <cell r="EA473">
            <v>0</v>
          </cell>
          <cell r="EB473">
            <v>0</v>
          </cell>
          <cell r="EC473">
            <v>0</v>
          </cell>
        </row>
        <row r="474"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R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BA474">
            <v>0</v>
          </cell>
          <cell r="BB474">
            <v>0</v>
          </cell>
          <cell r="BH474">
            <v>0</v>
          </cell>
          <cell r="BI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U474">
            <v>0</v>
          </cell>
          <cell r="BV474">
            <v>0</v>
          </cell>
          <cell r="BW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H474">
            <v>1</v>
          </cell>
          <cell r="CI474">
            <v>0</v>
          </cell>
          <cell r="CJ474">
            <v>0</v>
          </cell>
          <cell r="CK474">
            <v>0</v>
          </cell>
          <cell r="CN474">
            <v>0</v>
          </cell>
          <cell r="CO474">
            <v>0</v>
          </cell>
          <cell r="CP474">
            <v>0</v>
          </cell>
          <cell r="CS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L474">
            <v>0</v>
          </cell>
          <cell r="DM474">
            <v>0</v>
          </cell>
          <cell r="DO474">
            <v>0</v>
          </cell>
          <cell r="DQ474">
            <v>0</v>
          </cell>
          <cell r="DW474">
            <v>0</v>
          </cell>
          <cell r="DX474">
            <v>0</v>
          </cell>
          <cell r="DY474">
            <v>0</v>
          </cell>
          <cell r="DZ474">
            <v>0</v>
          </cell>
          <cell r="EA474">
            <v>0</v>
          </cell>
          <cell r="EB474">
            <v>0</v>
          </cell>
          <cell r="EC474">
            <v>0</v>
          </cell>
        </row>
        <row r="475"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1</v>
          </cell>
          <cell r="R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N475">
            <v>0</v>
          </cell>
          <cell r="AO475">
            <v>0</v>
          </cell>
          <cell r="AP475">
            <v>8</v>
          </cell>
          <cell r="AQ475">
            <v>0</v>
          </cell>
          <cell r="AR475">
            <v>0</v>
          </cell>
          <cell r="AS475">
            <v>0</v>
          </cell>
          <cell r="AU475">
            <v>0</v>
          </cell>
          <cell r="AV475">
            <v>0</v>
          </cell>
          <cell r="AW475">
            <v>1</v>
          </cell>
          <cell r="AX475">
            <v>0</v>
          </cell>
          <cell r="AY475">
            <v>0</v>
          </cell>
          <cell r="BA475">
            <v>0</v>
          </cell>
          <cell r="BB475">
            <v>0</v>
          </cell>
          <cell r="BH475">
            <v>0</v>
          </cell>
          <cell r="BI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8</v>
          </cell>
          <cell r="BQ475">
            <v>0</v>
          </cell>
          <cell r="BR475">
            <v>0</v>
          </cell>
          <cell r="BS475">
            <v>0</v>
          </cell>
          <cell r="BU475">
            <v>0</v>
          </cell>
          <cell r="BV475">
            <v>0</v>
          </cell>
          <cell r="BW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N475">
            <v>0</v>
          </cell>
          <cell r="CO475">
            <v>0</v>
          </cell>
          <cell r="CP475">
            <v>0</v>
          </cell>
          <cell r="CS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H475">
            <v>0</v>
          </cell>
          <cell r="DL475">
            <v>0</v>
          </cell>
          <cell r="DM475">
            <v>0</v>
          </cell>
          <cell r="DO475">
            <v>0</v>
          </cell>
          <cell r="DQ475">
            <v>0</v>
          </cell>
          <cell r="DW475">
            <v>0</v>
          </cell>
          <cell r="DX475">
            <v>0</v>
          </cell>
          <cell r="DY475">
            <v>0</v>
          </cell>
          <cell r="DZ475">
            <v>0</v>
          </cell>
          <cell r="EA475">
            <v>0</v>
          </cell>
          <cell r="EB475">
            <v>0</v>
          </cell>
          <cell r="EC475">
            <v>0</v>
          </cell>
        </row>
        <row r="476"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1</v>
          </cell>
          <cell r="R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U476">
            <v>0</v>
          </cell>
          <cell r="AV476">
            <v>0</v>
          </cell>
          <cell r="AW476">
            <v>1</v>
          </cell>
          <cell r="AX476">
            <v>0</v>
          </cell>
          <cell r="AY476">
            <v>0</v>
          </cell>
          <cell r="BA476">
            <v>0</v>
          </cell>
          <cell r="BB476">
            <v>0</v>
          </cell>
          <cell r="BH476">
            <v>0</v>
          </cell>
          <cell r="BI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U476">
            <v>0</v>
          </cell>
          <cell r="BV476">
            <v>0</v>
          </cell>
          <cell r="BW476">
            <v>0</v>
          </cell>
          <cell r="BZ476">
            <v>1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1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N476">
            <v>0</v>
          </cell>
          <cell r="CO476">
            <v>0</v>
          </cell>
          <cell r="CP476">
            <v>0</v>
          </cell>
          <cell r="CS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L476">
            <v>0</v>
          </cell>
          <cell r="DM476">
            <v>0</v>
          </cell>
          <cell r="DO476">
            <v>0</v>
          </cell>
          <cell r="DQ476">
            <v>0</v>
          </cell>
          <cell r="DW476">
            <v>0</v>
          </cell>
          <cell r="DX476">
            <v>0</v>
          </cell>
          <cell r="DY476">
            <v>0</v>
          </cell>
          <cell r="DZ476">
            <v>0</v>
          </cell>
          <cell r="EA476">
            <v>0</v>
          </cell>
          <cell r="EB476">
            <v>0</v>
          </cell>
          <cell r="EC476">
            <v>0</v>
          </cell>
        </row>
        <row r="477"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R477">
            <v>0</v>
          </cell>
          <cell r="V477">
            <v>1</v>
          </cell>
          <cell r="W477">
            <v>1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BA477">
            <v>0</v>
          </cell>
          <cell r="BB477">
            <v>0</v>
          </cell>
          <cell r="BH477">
            <v>0</v>
          </cell>
          <cell r="BI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U477">
            <v>0</v>
          </cell>
          <cell r="BV477">
            <v>0</v>
          </cell>
          <cell r="BW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N477">
            <v>0</v>
          </cell>
          <cell r="CO477">
            <v>0</v>
          </cell>
          <cell r="CP477">
            <v>0</v>
          </cell>
          <cell r="CS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L477">
            <v>0</v>
          </cell>
          <cell r="DM477">
            <v>0</v>
          </cell>
          <cell r="DO477">
            <v>0</v>
          </cell>
          <cell r="DQ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</row>
        <row r="478"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R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N478">
            <v>1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1</v>
          </cell>
          <cell r="BA478">
            <v>0</v>
          </cell>
          <cell r="BB478">
            <v>0</v>
          </cell>
          <cell r="BH478">
            <v>0</v>
          </cell>
          <cell r="BI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U478">
            <v>0</v>
          </cell>
          <cell r="BV478">
            <v>0</v>
          </cell>
          <cell r="BW478">
            <v>1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N478">
            <v>0</v>
          </cell>
          <cell r="CO478">
            <v>0</v>
          </cell>
          <cell r="CP478">
            <v>0</v>
          </cell>
          <cell r="CS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L478">
            <v>0</v>
          </cell>
          <cell r="DM478">
            <v>0</v>
          </cell>
          <cell r="DO478">
            <v>0</v>
          </cell>
          <cell r="DQ478">
            <v>0</v>
          </cell>
          <cell r="DW478">
            <v>0</v>
          </cell>
          <cell r="DX478">
            <v>0</v>
          </cell>
          <cell r="DY478">
            <v>0</v>
          </cell>
          <cell r="DZ478">
            <v>0</v>
          </cell>
          <cell r="EA478">
            <v>0</v>
          </cell>
          <cell r="EB478">
            <v>0</v>
          </cell>
          <cell r="EC478">
            <v>0</v>
          </cell>
        </row>
        <row r="479"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R479">
            <v>0</v>
          </cell>
          <cell r="V479">
            <v>0</v>
          </cell>
          <cell r="W479">
            <v>1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BA479">
            <v>0</v>
          </cell>
          <cell r="BB479">
            <v>0</v>
          </cell>
          <cell r="BH479">
            <v>0</v>
          </cell>
          <cell r="BI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U479">
            <v>0</v>
          </cell>
          <cell r="BV479">
            <v>0</v>
          </cell>
          <cell r="BW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N479">
            <v>0</v>
          </cell>
          <cell r="CO479">
            <v>0</v>
          </cell>
          <cell r="CP479">
            <v>0</v>
          </cell>
          <cell r="CS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L479">
            <v>0</v>
          </cell>
          <cell r="DM479">
            <v>0</v>
          </cell>
          <cell r="DO479">
            <v>0</v>
          </cell>
          <cell r="DQ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A479">
            <v>0</v>
          </cell>
          <cell r="EB479">
            <v>0</v>
          </cell>
          <cell r="EC479">
            <v>0</v>
          </cell>
        </row>
        <row r="480"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R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2</v>
          </cell>
          <cell r="AJ480">
            <v>0</v>
          </cell>
          <cell r="AK480">
            <v>0</v>
          </cell>
          <cell r="AL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BA480">
            <v>0</v>
          </cell>
          <cell r="BB480">
            <v>0</v>
          </cell>
          <cell r="BH480">
            <v>0</v>
          </cell>
          <cell r="BI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U480">
            <v>0</v>
          </cell>
          <cell r="BV480">
            <v>0</v>
          </cell>
          <cell r="BW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N480">
            <v>0</v>
          </cell>
          <cell r="CO480">
            <v>0</v>
          </cell>
          <cell r="CP480">
            <v>0</v>
          </cell>
          <cell r="CS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L480">
            <v>0</v>
          </cell>
          <cell r="DM480">
            <v>0</v>
          </cell>
          <cell r="DO480">
            <v>0</v>
          </cell>
          <cell r="DQ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A480">
            <v>0</v>
          </cell>
          <cell r="EB480">
            <v>0</v>
          </cell>
          <cell r="EC480">
            <v>0</v>
          </cell>
        </row>
        <row r="481"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R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2</v>
          </cell>
          <cell r="AJ481">
            <v>0</v>
          </cell>
          <cell r="AK481">
            <v>0</v>
          </cell>
          <cell r="AL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BA481">
            <v>0</v>
          </cell>
          <cell r="BB481">
            <v>0</v>
          </cell>
          <cell r="BH481">
            <v>0</v>
          </cell>
          <cell r="BI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U481">
            <v>0</v>
          </cell>
          <cell r="BV481">
            <v>0</v>
          </cell>
          <cell r="BW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N481">
            <v>0</v>
          </cell>
          <cell r="CO481">
            <v>0</v>
          </cell>
          <cell r="CP481">
            <v>0</v>
          </cell>
          <cell r="CS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L481">
            <v>0</v>
          </cell>
          <cell r="DM481">
            <v>0</v>
          </cell>
          <cell r="DO481">
            <v>0</v>
          </cell>
          <cell r="DQ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A481">
            <v>0</v>
          </cell>
          <cell r="EB481">
            <v>0</v>
          </cell>
          <cell r="EC481">
            <v>0</v>
          </cell>
        </row>
        <row r="482"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R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1</v>
          </cell>
          <cell r="AL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BA482">
            <v>0</v>
          </cell>
          <cell r="BB482">
            <v>0</v>
          </cell>
          <cell r="BH482">
            <v>0</v>
          </cell>
          <cell r="BI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U482">
            <v>0</v>
          </cell>
          <cell r="BV482">
            <v>0</v>
          </cell>
          <cell r="BW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N482">
            <v>0</v>
          </cell>
          <cell r="CO482">
            <v>0</v>
          </cell>
          <cell r="CP482">
            <v>0</v>
          </cell>
          <cell r="CS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L482">
            <v>0</v>
          </cell>
          <cell r="DM482">
            <v>0</v>
          </cell>
          <cell r="DO482">
            <v>0</v>
          </cell>
          <cell r="DQ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A482">
            <v>0</v>
          </cell>
          <cell r="EB482">
            <v>0</v>
          </cell>
          <cell r="EC482">
            <v>0</v>
          </cell>
        </row>
        <row r="483">
          <cell r="D483">
            <v>0</v>
          </cell>
          <cell r="E483">
            <v>1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1</v>
          </cell>
          <cell r="R483">
            <v>0</v>
          </cell>
          <cell r="V483">
            <v>0</v>
          </cell>
          <cell r="W483">
            <v>0</v>
          </cell>
          <cell r="X483">
            <v>1</v>
          </cell>
          <cell r="Y483">
            <v>0</v>
          </cell>
          <cell r="Z483">
            <v>0</v>
          </cell>
          <cell r="AA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1</v>
          </cell>
          <cell r="AL483">
            <v>1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U483">
            <v>0</v>
          </cell>
          <cell r="AV483">
            <v>0</v>
          </cell>
          <cell r="AW483">
            <v>1</v>
          </cell>
          <cell r="AX483">
            <v>0</v>
          </cell>
          <cell r="AY483">
            <v>0</v>
          </cell>
          <cell r="BA483">
            <v>0</v>
          </cell>
          <cell r="BB483">
            <v>0</v>
          </cell>
          <cell r="BH483">
            <v>0</v>
          </cell>
          <cell r="BI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U483">
            <v>0</v>
          </cell>
          <cell r="BV483">
            <v>0</v>
          </cell>
          <cell r="BW483">
            <v>1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N483">
            <v>0</v>
          </cell>
          <cell r="CO483">
            <v>1</v>
          </cell>
          <cell r="CP483">
            <v>0</v>
          </cell>
          <cell r="CS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1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L483">
            <v>0</v>
          </cell>
          <cell r="DM483">
            <v>0</v>
          </cell>
          <cell r="DO483">
            <v>0</v>
          </cell>
          <cell r="DQ483">
            <v>0</v>
          </cell>
          <cell r="DW483">
            <v>1</v>
          </cell>
          <cell r="DX483">
            <v>0</v>
          </cell>
          <cell r="DY483">
            <v>0</v>
          </cell>
          <cell r="DZ483">
            <v>0</v>
          </cell>
          <cell r="EA483">
            <v>0</v>
          </cell>
          <cell r="EB483">
            <v>0</v>
          </cell>
          <cell r="EC483">
            <v>0</v>
          </cell>
        </row>
        <row r="484"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R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1</v>
          </cell>
          <cell r="Z484">
            <v>0</v>
          </cell>
          <cell r="AA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BA484">
            <v>0</v>
          </cell>
          <cell r="BB484">
            <v>0</v>
          </cell>
          <cell r="BH484">
            <v>0</v>
          </cell>
          <cell r="BI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U484">
            <v>0</v>
          </cell>
          <cell r="BV484">
            <v>0</v>
          </cell>
          <cell r="BW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N484">
            <v>0</v>
          </cell>
          <cell r="CO484">
            <v>0</v>
          </cell>
          <cell r="CP484">
            <v>0</v>
          </cell>
          <cell r="CS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L484">
            <v>0</v>
          </cell>
          <cell r="DM484">
            <v>0</v>
          </cell>
          <cell r="DO484">
            <v>0</v>
          </cell>
          <cell r="DQ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A484">
            <v>0</v>
          </cell>
          <cell r="EB484">
            <v>0</v>
          </cell>
          <cell r="EC484">
            <v>0</v>
          </cell>
        </row>
        <row r="485"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R485">
            <v>0</v>
          </cell>
          <cell r="V485">
            <v>2</v>
          </cell>
          <cell r="W485">
            <v>1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1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BA485">
            <v>0</v>
          </cell>
          <cell r="BB485">
            <v>0</v>
          </cell>
          <cell r="BH485">
            <v>0</v>
          </cell>
          <cell r="BI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U485">
            <v>0</v>
          </cell>
          <cell r="BV485">
            <v>0</v>
          </cell>
          <cell r="BW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N485">
            <v>0</v>
          </cell>
          <cell r="CO485">
            <v>0</v>
          </cell>
          <cell r="CP485">
            <v>0</v>
          </cell>
          <cell r="CS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L485">
            <v>0</v>
          </cell>
          <cell r="DM485">
            <v>0</v>
          </cell>
          <cell r="DO485">
            <v>0</v>
          </cell>
          <cell r="DQ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A485">
            <v>0</v>
          </cell>
          <cell r="EB485">
            <v>0</v>
          </cell>
          <cell r="EC485">
            <v>0</v>
          </cell>
        </row>
        <row r="486"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R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1</v>
          </cell>
          <cell r="Z486">
            <v>0</v>
          </cell>
          <cell r="AA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BA486">
            <v>0</v>
          </cell>
          <cell r="BB486">
            <v>0</v>
          </cell>
          <cell r="BH486">
            <v>0</v>
          </cell>
          <cell r="BI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U486">
            <v>0</v>
          </cell>
          <cell r="BV486">
            <v>0</v>
          </cell>
          <cell r="BW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N486">
            <v>0</v>
          </cell>
          <cell r="CO486">
            <v>0</v>
          </cell>
          <cell r="CP486">
            <v>0</v>
          </cell>
          <cell r="CS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L486">
            <v>0</v>
          </cell>
          <cell r="DM486">
            <v>0</v>
          </cell>
          <cell r="DO486">
            <v>0</v>
          </cell>
          <cell r="DQ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A486">
            <v>0</v>
          </cell>
          <cell r="EB486">
            <v>0</v>
          </cell>
          <cell r="EC486">
            <v>0</v>
          </cell>
        </row>
        <row r="487"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R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1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BA487">
            <v>0</v>
          </cell>
          <cell r="BB487">
            <v>0</v>
          </cell>
          <cell r="BH487">
            <v>0</v>
          </cell>
          <cell r="BI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U487">
            <v>0</v>
          </cell>
          <cell r="BV487">
            <v>0</v>
          </cell>
          <cell r="BW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N487">
            <v>0</v>
          </cell>
          <cell r="CO487">
            <v>0</v>
          </cell>
          <cell r="CP487">
            <v>0</v>
          </cell>
          <cell r="CS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L487">
            <v>0</v>
          </cell>
          <cell r="DM487">
            <v>0</v>
          </cell>
          <cell r="DO487">
            <v>0</v>
          </cell>
          <cell r="DQ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A487">
            <v>0</v>
          </cell>
          <cell r="EB487">
            <v>0</v>
          </cell>
          <cell r="EC487">
            <v>0</v>
          </cell>
        </row>
        <row r="488"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R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BA488">
            <v>0</v>
          </cell>
          <cell r="BB488">
            <v>0</v>
          </cell>
          <cell r="BH488">
            <v>0</v>
          </cell>
          <cell r="BI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U488">
            <v>0</v>
          </cell>
          <cell r="BV488">
            <v>0</v>
          </cell>
          <cell r="BW488">
            <v>0</v>
          </cell>
          <cell r="BZ488">
            <v>1</v>
          </cell>
          <cell r="CA488">
            <v>0</v>
          </cell>
          <cell r="CB488">
            <v>1</v>
          </cell>
          <cell r="CC488">
            <v>0</v>
          </cell>
          <cell r="CD488">
            <v>0</v>
          </cell>
          <cell r="CE488">
            <v>1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N488">
            <v>0</v>
          </cell>
          <cell r="CO488">
            <v>0</v>
          </cell>
          <cell r="CP488">
            <v>0</v>
          </cell>
          <cell r="CS488">
            <v>0</v>
          </cell>
          <cell r="CU488">
            <v>1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L488">
            <v>0</v>
          </cell>
          <cell r="DM488">
            <v>0</v>
          </cell>
          <cell r="DO488">
            <v>0</v>
          </cell>
          <cell r="DQ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</row>
        <row r="489"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R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2</v>
          </cell>
          <cell r="Z489">
            <v>0</v>
          </cell>
          <cell r="AA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1</v>
          </cell>
          <cell r="AJ489">
            <v>0</v>
          </cell>
          <cell r="AK489">
            <v>0</v>
          </cell>
          <cell r="AL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BA489">
            <v>0</v>
          </cell>
          <cell r="BB489">
            <v>0</v>
          </cell>
          <cell r="BH489">
            <v>0</v>
          </cell>
          <cell r="BI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U489">
            <v>0</v>
          </cell>
          <cell r="BV489">
            <v>0</v>
          </cell>
          <cell r="BW489">
            <v>0</v>
          </cell>
          <cell r="BZ489">
            <v>1</v>
          </cell>
          <cell r="CA489">
            <v>0</v>
          </cell>
          <cell r="CB489">
            <v>1</v>
          </cell>
          <cell r="CC489">
            <v>0</v>
          </cell>
          <cell r="CD489">
            <v>0</v>
          </cell>
          <cell r="CE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N489">
            <v>0</v>
          </cell>
          <cell r="CO489">
            <v>0</v>
          </cell>
          <cell r="CP489">
            <v>0</v>
          </cell>
          <cell r="CS489">
            <v>0</v>
          </cell>
          <cell r="CU489">
            <v>1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L489">
            <v>0</v>
          </cell>
          <cell r="DM489">
            <v>0</v>
          </cell>
          <cell r="DO489">
            <v>0</v>
          </cell>
          <cell r="DQ489">
            <v>0</v>
          </cell>
          <cell r="DW489">
            <v>0</v>
          </cell>
          <cell r="DX489">
            <v>0</v>
          </cell>
          <cell r="DY489">
            <v>0</v>
          </cell>
          <cell r="DZ489">
            <v>0</v>
          </cell>
          <cell r="EA489">
            <v>0</v>
          </cell>
          <cell r="EB489">
            <v>0</v>
          </cell>
          <cell r="EC489">
            <v>0</v>
          </cell>
        </row>
        <row r="490"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R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BA490">
            <v>0</v>
          </cell>
          <cell r="BB490">
            <v>0</v>
          </cell>
          <cell r="BH490">
            <v>0</v>
          </cell>
          <cell r="BI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U490">
            <v>0</v>
          </cell>
          <cell r="BV490">
            <v>0</v>
          </cell>
          <cell r="BW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N490">
            <v>0</v>
          </cell>
          <cell r="CO490">
            <v>0</v>
          </cell>
          <cell r="CP490">
            <v>0</v>
          </cell>
          <cell r="CS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L490">
            <v>0</v>
          </cell>
          <cell r="DM490">
            <v>0</v>
          </cell>
          <cell r="DO490">
            <v>0</v>
          </cell>
          <cell r="DQ490">
            <v>0</v>
          </cell>
          <cell r="DW490">
            <v>3</v>
          </cell>
          <cell r="DX490">
            <v>0</v>
          </cell>
          <cell r="DY490">
            <v>0</v>
          </cell>
          <cell r="DZ490">
            <v>0</v>
          </cell>
          <cell r="EA490">
            <v>0</v>
          </cell>
          <cell r="EB490">
            <v>0</v>
          </cell>
          <cell r="EC490">
            <v>0</v>
          </cell>
        </row>
        <row r="491"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R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BA491">
            <v>0</v>
          </cell>
          <cell r="BB491">
            <v>0</v>
          </cell>
          <cell r="BH491">
            <v>0</v>
          </cell>
          <cell r="BI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U491">
            <v>0</v>
          </cell>
          <cell r="BV491">
            <v>0</v>
          </cell>
          <cell r="BW491">
            <v>0</v>
          </cell>
          <cell r="BZ491">
            <v>0</v>
          </cell>
          <cell r="CA491">
            <v>0</v>
          </cell>
          <cell r="CB491">
            <v>3</v>
          </cell>
          <cell r="CC491">
            <v>0</v>
          </cell>
          <cell r="CD491">
            <v>0</v>
          </cell>
          <cell r="CE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N491">
            <v>0</v>
          </cell>
          <cell r="CO491">
            <v>0</v>
          </cell>
          <cell r="CP491">
            <v>0</v>
          </cell>
          <cell r="CS491">
            <v>0</v>
          </cell>
          <cell r="CU491">
            <v>3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1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L491">
            <v>0</v>
          </cell>
          <cell r="DM491">
            <v>0</v>
          </cell>
          <cell r="DO491">
            <v>0</v>
          </cell>
          <cell r="DQ491">
            <v>0</v>
          </cell>
          <cell r="DW491">
            <v>0</v>
          </cell>
          <cell r="DX491">
            <v>0</v>
          </cell>
          <cell r="DY491">
            <v>0</v>
          </cell>
          <cell r="DZ491">
            <v>0</v>
          </cell>
          <cell r="EA491">
            <v>0</v>
          </cell>
          <cell r="EB491">
            <v>0</v>
          </cell>
          <cell r="EC491">
            <v>8</v>
          </cell>
        </row>
        <row r="492"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R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1</v>
          </cell>
          <cell r="AS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BA492">
            <v>0</v>
          </cell>
          <cell r="BB492">
            <v>0</v>
          </cell>
          <cell r="BH492">
            <v>0</v>
          </cell>
          <cell r="BI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U492">
            <v>0</v>
          </cell>
          <cell r="BV492">
            <v>0</v>
          </cell>
          <cell r="BW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N492">
            <v>0</v>
          </cell>
          <cell r="CO492">
            <v>0</v>
          </cell>
          <cell r="CP492">
            <v>2</v>
          </cell>
          <cell r="CS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1</v>
          </cell>
          <cell r="CZ492">
            <v>2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L492">
            <v>0</v>
          </cell>
          <cell r="DM492">
            <v>0</v>
          </cell>
          <cell r="DO492">
            <v>0</v>
          </cell>
          <cell r="DQ492">
            <v>0</v>
          </cell>
          <cell r="DW492">
            <v>0</v>
          </cell>
          <cell r="DX492">
            <v>0</v>
          </cell>
          <cell r="DY492">
            <v>1</v>
          </cell>
          <cell r="DZ492">
            <v>0</v>
          </cell>
          <cell r="EA492">
            <v>0</v>
          </cell>
          <cell r="EB492">
            <v>0</v>
          </cell>
          <cell r="EC492">
            <v>0</v>
          </cell>
        </row>
        <row r="493"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R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BA493">
            <v>0</v>
          </cell>
          <cell r="BB493">
            <v>0</v>
          </cell>
          <cell r="BH493">
            <v>0</v>
          </cell>
          <cell r="BI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U493">
            <v>0</v>
          </cell>
          <cell r="BV493">
            <v>4</v>
          </cell>
          <cell r="BW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1</v>
          </cell>
          <cell r="CN493">
            <v>1</v>
          </cell>
          <cell r="CO493">
            <v>4</v>
          </cell>
          <cell r="CP493">
            <v>4</v>
          </cell>
          <cell r="CS493">
            <v>4</v>
          </cell>
          <cell r="CU493">
            <v>0</v>
          </cell>
          <cell r="CV493">
            <v>4</v>
          </cell>
          <cell r="CW493">
            <v>4</v>
          </cell>
          <cell r="CX493">
            <v>0</v>
          </cell>
          <cell r="CY493">
            <v>2</v>
          </cell>
          <cell r="CZ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L493">
            <v>2</v>
          </cell>
          <cell r="DM493">
            <v>2</v>
          </cell>
          <cell r="DO493">
            <v>0</v>
          </cell>
          <cell r="DQ493">
            <v>0</v>
          </cell>
          <cell r="DW493">
            <v>0</v>
          </cell>
          <cell r="DX493">
            <v>0</v>
          </cell>
          <cell r="DY493">
            <v>0</v>
          </cell>
          <cell r="DZ493">
            <v>0</v>
          </cell>
          <cell r="EA493">
            <v>0</v>
          </cell>
          <cell r="EB493">
            <v>0</v>
          </cell>
          <cell r="EC493">
            <v>0</v>
          </cell>
        </row>
        <row r="494"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R494">
            <v>0</v>
          </cell>
          <cell r="V494">
            <v>0</v>
          </cell>
          <cell r="W494">
            <v>0</v>
          </cell>
          <cell r="X494">
            <v>2</v>
          </cell>
          <cell r="Y494">
            <v>0</v>
          </cell>
          <cell r="Z494">
            <v>0</v>
          </cell>
          <cell r="AA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BA494">
            <v>0</v>
          </cell>
          <cell r="BB494">
            <v>0</v>
          </cell>
          <cell r="BH494">
            <v>0</v>
          </cell>
          <cell r="BI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U494">
            <v>0</v>
          </cell>
          <cell r="BV494">
            <v>0</v>
          </cell>
          <cell r="BW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H494">
            <v>7</v>
          </cell>
          <cell r="CI494">
            <v>0</v>
          </cell>
          <cell r="CJ494">
            <v>0</v>
          </cell>
          <cell r="CK494">
            <v>0</v>
          </cell>
          <cell r="CN494">
            <v>0</v>
          </cell>
          <cell r="CO494">
            <v>0</v>
          </cell>
          <cell r="CP494">
            <v>0</v>
          </cell>
          <cell r="CS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H494">
            <v>0</v>
          </cell>
          <cell r="DL494">
            <v>0</v>
          </cell>
          <cell r="DM494">
            <v>0</v>
          </cell>
          <cell r="DO494">
            <v>0</v>
          </cell>
          <cell r="DQ494">
            <v>0</v>
          </cell>
          <cell r="DW494">
            <v>0</v>
          </cell>
          <cell r="DX494">
            <v>0</v>
          </cell>
          <cell r="DY494">
            <v>0</v>
          </cell>
          <cell r="DZ494">
            <v>0</v>
          </cell>
          <cell r="EA494">
            <v>0</v>
          </cell>
          <cell r="EB494">
            <v>0</v>
          </cell>
          <cell r="EC494">
            <v>0</v>
          </cell>
        </row>
        <row r="495"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R495">
            <v>0</v>
          </cell>
          <cell r="V495">
            <v>0</v>
          </cell>
          <cell r="W495">
            <v>1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BA495">
            <v>0</v>
          </cell>
          <cell r="BB495">
            <v>0</v>
          </cell>
          <cell r="BH495">
            <v>0</v>
          </cell>
          <cell r="BI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U495">
            <v>1</v>
          </cell>
          <cell r="BV495">
            <v>0</v>
          </cell>
          <cell r="BW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N495">
            <v>0</v>
          </cell>
          <cell r="CO495">
            <v>0</v>
          </cell>
          <cell r="CP495">
            <v>0</v>
          </cell>
          <cell r="CS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1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1</v>
          </cell>
          <cell r="DG495">
            <v>0</v>
          </cell>
          <cell r="DH495">
            <v>0</v>
          </cell>
          <cell r="DL495">
            <v>1</v>
          </cell>
          <cell r="DM495">
            <v>0</v>
          </cell>
          <cell r="DO495">
            <v>0</v>
          </cell>
          <cell r="DQ495">
            <v>0</v>
          </cell>
          <cell r="DW495">
            <v>0</v>
          </cell>
          <cell r="DX495">
            <v>0</v>
          </cell>
          <cell r="DY495">
            <v>1</v>
          </cell>
          <cell r="DZ495">
            <v>0</v>
          </cell>
          <cell r="EA495">
            <v>0</v>
          </cell>
          <cell r="EB495">
            <v>0</v>
          </cell>
          <cell r="EC495">
            <v>0</v>
          </cell>
        </row>
        <row r="496"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R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BA496">
            <v>0</v>
          </cell>
          <cell r="BB496">
            <v>0</v>
          </cell>
          <cell r="BH496">
            <v>0</v>
          </cell>
          <cell r="BI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U496">
            <v>0</v>
          </cell>
          <cell r="BV496">
            <v>0</v>
          </cell>
          <cell r="BW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N496">
            <v>0</v>
          </cell>
          <cell r="CO496">
            <v>0</v>
          </cell>
          <cell r="CP496">
            <v>0</v>
          </cell>
          <cell r="CS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L496">
            <v>0</v>
          </cell>
          <cell r="DM496">
            <v>0</v>
          </cell>
          <cell r="DO496">
            <v>0</v>
          </cell>
          <cell r="DQ496">
            <v>0</v>
          </cell>
          <cell r="DW496">
            <v>0</v>
          </cell>
          <cell r="DX496">
            <v>0</v>
          </cell>
          <cell r="DY496">
            <v>0</v>
          </cell>
          <cell r="DZ496">
            <v>0</v>
          </cell>
          <cell r="EA496">
            <v>0</v>
          </cell>
          <cell r="EB496">
            <v>0</v>
          </cell>
          <cell r="EC496">
            <v>0</v>
          </cell>
        </row>
        <row r="497">
          <cell r="D497">
            <v>0</v>
          </cell>
          <cell r="E497">
            <v>1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R497">
            <v>0</v>
          </cell>
          <cell r="V497">
            <v>0</v>
          </cell>
          <cell r="W497">
            <v>0</v>
          </cell>
          <cell r="X497">
            <v>1</v>
          </cell>
          <cell r="Y497">
            <v>1</v>
          </cell>
          <cell r="Z497">
            <v>0</v>
          </cell>
          <cell r="AA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1</v>
          </cell>
          <cell r="AL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1</v>
          </cell>
          <cell r="BA497">
            <v>0</v>
          </cell>
          <cell r="BB497">
            <v>0</v>
          </cell>
          <cell r="BH497">
            <v>0</v>
          </cell>
          <cell r="BI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U497">
            <v>0</v>
          </cell>
          <cell r="BV497">
            <v>0</v>
          </cell>
          <cell r="BW497">
            <v>1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N497">
            <v>0</v>
          </cell>
          <cell r="CO497">
            <v>0</v>
          </cell>
          <cell r="CP497">
            <v>0</v>
          </cell>
          <cell r="CS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L497">
            <v>0</v>
          </cell>
          <cell r="DM497">
            <v>0</v>
          </cell>
          <cell r="DO497">
            <v>0</v>
          </cell>
          <cell r="DQ497">
            <v>0</v>
          </cell>
          <cell r="DW497">
            <v>0</v>
          </cell>
          <cell r="DX497">
            <v>0</v>
          </cell>
          <cell r="DY497">
            <v>0</v>
          </cell>
          <cell r="DZ497">
            <v>0</v>
          </cell>
          <cell r="EA497">
            <v>0</v>
          </cell>
          <cell r="EB497">
            <v>0</v>
          </cell>
          <cell r="EC497">
            <v>0</v>
          </cell>
        </row>
        <row r="498"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R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2</v>
          </cell>
          <cell r="AJ498">
            <v>0</v>
          </cell>
          <cell r="AK498">
            <v>0</v>
          </cell>
          <cell r="AL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BA498">
            <v>0</v>
          </cell>
          <cell r="BB498">
            <v>0</v>
          </cell>
          <cell r="BH498">
            <v>0</v>
          </cell>
          <cell r="BI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U498">
            <v>0</v>
          </cell>
          <cell r="BV498">
            <v>0</v>
          </cell>
          <cell r="BW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N498">
            <v>0</v>
          </cell>
          <cell r="CO498">
            <v>0</v>
          </cell>
          <cell r="CP498">
            <v>0</v>
          </cell>
          <cell r="CS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H498">
            <v>0</v>
          </cell>
          <cell r="DL498">
            <v>0</v>
          </cell>
          <cell r="DM498">
            <v>0</v>
          </cell>
          <cell r="DO498">
            <v>0</v>
          </cell>
          <cell r="DQ498">
            <v>0</v>
          </cell>
          <cell r="DW498">
            <v>0</v>
          </cell>
          <cell r="DX498">
            <v>0</v>
          </cell>
          <cell r="DY498">
            <v>0</v>
          </cell>
          <cell r="DZ498">
            <v>0</v>
          </cell>
          <cell r="EA498">
            <v>0</v>
          </cell>
          <cell r="EB498">
            <v>0</v>
          </cell>
          <cell r="EC498">
            <v>0</v>
          </cell>
        </row>
        <row r="499"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R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BA499">
            <v>0</v>
          </cell>
          <cell r="BB499">
            <v>0</v>
          </cell>
          <cell r="BH499">
            <v>0</v>
          </cell>
          <cell r="BI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U499">
            <v>0</v>
          </cell>
          <cell r="BV499">
            <v>0</v>
          </cell>
          <cell r="BW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N499">
            <v>0</v>
          </cell>
          <cell r="CO499">
            <v>0</v>
          </cell>
          <cell r="CP499">
            <v>0</v>
          </cell>
          <cell r="CS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L499">
            <v>0</v>
          </cell>
          <cell r="DM499">
            <v>0</v>
          </cell>
          <cell r="DO499">
            <v>0</v>
          </cell>
          <cell r="DQ499">
            <v>0</v>
          </cell>
          <cell r="DW499">
            <v>0</v>
          </cell>
          <cell r="DX499">
            <v>0</v>
          </cell>
          <cell r="DY499">
            <v>0</v>
          </cell>
          <cell r="DZ499">
            <v>0</v>
          </cell>
          <cell r="EA499">
            <v>0</v>
          </cell>
          <cell r="EB499">
            <v>0</v>
          </cell>
          <cell r="EC499">
            <v>0</v>
          </cell>
        </row>
        <row r="500"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R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BA500">
            <v>0</v>
          </cell>
          <cell r="BB500">
            <v>0</v>
          </cell>
          <cell r="BH500">
            <v>0</v>
          </cell>
          <cell r="BI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U500">
            <v>0</v>
          </cell>
          <cell r="BV500">
            <v>1</v>
          </cell>
          <cell r="BW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N500">
            <v>0</v>
          </cell>
          <cell r="CO500">
            <v>0</v>
          </cell>
          <cell r="CP500">
            <v>0</v>
          </cell>
          <cell r="CS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L500">
            <v>0</v>
          </cell>
          <cell r="DM500">
            <v>0</v>
          </cell>
          <cell r="DO500">
            <v>0</v>
          </cell>
          <cell r="DQ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0</v>
          </cell>
          <cell r="EA500">
            <v>0</v>
          </cell>
          <cell r="EB500">
            <v>0</v>
          </cell>
          <cell r="EC500">
            <v>0</v>
          </cell>
        </row>
        <row r="501"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R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U501">
            <v>0</v>
          </cell>
          <cell r="AV501">
            <v>0</v>
          </cell>
          <cell r="AW501">
            <v>1</v>
          </cell>
          <cell r="AX501">
            <v>0</v>
          </cell>
          <cell r="AY501">
            <v>0</v>
          </cell>
          <cell r="BA501">
            <v>0</v>
          </cell>
          <cell r="BB501">
            <v>0</v>
          </cell>
          <cell r="BH501">
            <v>0</v>
          </cell>
          <cell r="BI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U501">
            <v>0</v>
          </cell>
          <cell r="BV501">
            <v>0</v>
          </cell>
          <cell r="BW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N501">
            <v>0</v>
          </cell>
          <cell r="CO501">
            <v>0</v>
          </cell>
          <cell r="CP501">
            <v>0</v>
          </cell>
          <cell r="CS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L501">
            <v>0</v>
          </cell>
          <cell r="DM501">
            <v>0</v>
          </cell>
          <cell r="DO501">
            <v>0</v>
          </cell>
          <cell r="DQ501">
            <v>0</v>
          </cell>
          <cell r="DW501">
            <v>0</v>
          </cell>
          <cell r="DX501">
            <v>0</v>
          </cell>
          <cell r="DY501">
            <v>0</v>
          </cell>
          <cell r="DZ501">
            <v>0</v>
          </cell>
          <cell r="EA501">
            <v>0</v>
          </cell>
          <cell r="EB501">
            <v>0</v>
          </cell>
          <cell r="EC501">
            <v>0</v>
          </cell>
        </row>
        <row r="502"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R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BA502">
            <v>0</v>
          </cell>
          <cell r="BB502">
            <v>0</v>
          </cell>
          <cell r="BH502">
            <v>0</v>
          </cell>
          <cell r="BI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U502">
            <v>0</v>
          </cell>
          <cell r="BV502">
            <v>0</v>
          </cell>
          <cell r="BW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N502">
            <v>0</v>
          </cell>
          <cell r="CO502">
            <v>0</v>
          </cell>
          <cell r="CP502">
            <v>0</v>
          </cell>
          <cell r="CS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L502">
            <v>0</v>
          </cell>
          <cell r="DM502">
            <v>0</v>
          </cell>
          <cell r="DO502">
            <v>0</v>
          </cell>
          <cell r="DQ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</row>
        <row r="503"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R503">
            <v>0</v>
          </cell>
          <cell r="V503">
            <v>0</v>
          </cell>
          <cell r="W503">
            <v>0</v>
          </cell>
          <cell r="X503">
            <v>1</v>
          </cell>
          <cell r="Y503">
            <v>0</v>
          </cell>
          <cell r="Z503">
            <v>0</v>
          </cell>
          <cell r="AA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BA503">
            <v>0</v>
          </cell>
          <cell r="BB503">
            <v>0</v>
          </cell>
          <cell r="BH503">
            <v>0</v>
          </cell>
          <cell r="BI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U503">
            <v>0</v>
          </cell>
          <cell r="BV503">
            <v>0</v>
          </cell>
          <cell r="BW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N503">
            <v>0</v>
          </cell>
          <cell r="CO503">
            <v>0</v>
          </cell>
          <cell r="CP503">
            <v>0</v>
          </cell>
          <cell r="CS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L503">
            <v>0</v>
          </cell>
          <cell r="DM503">
            <v>0</v>
          </cell>
          <cell r="DO503">
            <v>0</v>
          </cell>
          <cell r="DQ503">
            <v>0</v>
          </cell>
          <cell r="DW503">
            <v>0</v>
          </cell>
          <cell r="DX503">
            <v>0</v>
          </cell>
          <cell r="DY503">
            <v>0</v>
          </cell>
          <cell r="DZ503">
            <v>0</v>
          </cell>
          <cell r="EA503">
            <v>0</v>
          </cell>
          <cell r="EB503">
            <v>0</v>
          </cell>
          <cell r="EC503">
            <v>0</v>
          </cell>
        </row>
        <row r="504"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R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BA504">
            <v>0</v>
          </cell>
          <cell r="BB504">
            <v>0</v>
          </cell>
          <cell r="BH504">
            <v>0</v>
          </cell>
          <cell r="BI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U504">
            <v>0</v>
          </cell>
          <cell r="BV504">
            <v>0</v>
          </cell>
          <cell r="BW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N504">
            <v>0</v>
          </cell>
          <cell r="CO504">
            <v>0</v>
          </cell>
          <cell r="CP504">
            <v>0</v>
          </cell>
          <cell r="CS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L504">
            <v>0</v>
          </cell>
          <cell r="DM504">
            <v>0</v>
          </cell>
          <cell r="DO504">
            <v>0</v>
          </cell>
          <cell r="DQ504">
            <v>0</v>
          </cell>
          <cell r="DW504">
            <v>0</v>
          </cell>
          <cell r="DX504">
            <v>0</v>
          </cell>
          <cell r="DY504">
            <v>0</v>
          </cell>
          <cell r="DZ504">
            <v>0</v>
          </cell>
          <cell r="EA504">
            <v>0</v>
          </cell>
          <cell r="EB504">
            <v>0</v>
          </cell>
          <cell r="EC504">
            <v>0</v>
          </cell>
        </row>
        <row r="505"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R505">
            <v>0</v>
          </cell>
          <cell r="V505">
            <v>0</v>
          </cell>
          <cell r="W505">
            <v>0</v>
          </cell>
          <cell r="X505">
            <v>2</v>
          </cell>
          <cell r="Y505">
            <v>0</v>
          </cell>
          <cell r="Z505">
            <v>0</v>
          </cell>
          <cell r="AA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N505">
            <v>0</v>
          </cell>
          <cell r="AO505">
            <v>0</v>
          </cell>
          <cell r="AP505">
            <v>1</v>
          </cell>
          <cell r="AQ505">
            <v>0</v>
          </cell>
          <cell r="AR505">
            <v>0</v>
          </cell>
          <cell r="AS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BA505">
            <v>0</v>
          </cell>
          <cell r="BB505">
            <v>0</v>
          </cell>
          <cell r="BH505">
            <v>0</v>
          </cell>
          <cell r="BI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U505">
            <v>0</v>
          </cell>
          <cell r="BV505">
            <v>0</v>
          </cell>
          <cell r="BW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N505">
            <v>0</v>
          </cell>
          <cell r="CO505">
            <v>0</v>
          </cell>
          <cell r="CP505">
            <v>0</v>
          </cell>
          <cell r="CS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H505">
            <v>0</v>
          </cell>
          <cell r="DL505">
            <v>0</v>
          </cell>
          <cell r="DM505">
            <v>0</v>
          </cell>
          <cell r="DO505">
            <v>0</v>
          </cell>
          <cell r="DQ505">
            <v>0</v>
          </cell>
          <cell r="DW505">
            <v>0</v>
          </cell>
          <cell r="DX505">
            <v>0</v>
          </cell>
          <cell r="DY505">
            <v>0</v>
          </cell>
          <cell r="DZ505">
            <v>0</v>
          </cell>
          <cell r="EA505">
            <v>0</v>
          </cell>
          <cell r="EB505">
            <v>0</v>
          </cell>
          <cell r="EC505">
            <v>0</v>
          </cell>
        </row>
        <row r="506"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R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BA506">
            <v>0</v>
          </cell>
          <cell r="BB506">
            <v>0</v>
          </cell>
          <cell r="BH506">
            <v>0</v>
          </cell>
          <cell r="BI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U506">
            <v>0</v>
          </cell>
          <cell r="BV506">
            <v>0</v>
          </cell>
          <cell r="BW506">
            <v>0</v>
          </cell>
          <cell r="BZ506">
            <v>0</v>
          </cell>
          <cell r="CA506">
            <v>2</v>
          </cell>
          <cell r="CB506">
            <v>0</v>
          </cell>
          <cell r="CC506">
            <v>5</v>
          </cell>
          <cell r="CD506">
            <v>0</v>
          </cell>
          <cell r="CE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N506">
            <v>0</v>
          </cell>
          <cell r="CO506">
            <v>0</v>
          </cell>
          <cell r="CP506">
            <v>0</v>
          </cell>
          <cell r="CS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L506">
            <v>0</v>
          </cell>
          <cell r="DM506">
            <v>0</v>
          </cell>
          <cell r="DO506">
            <v>0</v>
          </cell>
          <cell r="DQ506">
            <v>0</v>
          </cell>
          <cell r="DW506">
            <v>0</v>
          </cell>
          <cell r="DX506">
            <v>0</v>
          </cell>
          <cell r="DY506">
            <v>0</v>
          </cell>
          <cell r="DZ506">
            <v>0</v>
          </cell>
          <cell r="EA506">
            <v>0</v>
          </cell>
          <cell r="EB506">
            <v>0</v>
          </cell>
          <cell r="EC506">
            <v>0</v>
          </cell>
        </row>
        <row r="507"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R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N507">
            <v>0</v>
          </cell>
          <cell r="AO507">
            <v>0</v>
          </cell>
          <cell r="AP507">
            <v>1</v>
          </cell>
          <cell r="AQ507">
            <v>0</v>
          </cell>
          <cell r="AR507">
            <v>0</v>
          </cell>
          <cell r="AS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3</v>
          </cell>
          <cell r="AY507">
            <v>0</v>
          </cell>
          <cell r="BA507">
            <v>0</v>
          </cell>
          <cell r="BB507">
            <v>0</v>
          </cell>
          <cell r="BH507">
            <v>0</v>
          </cell>
          <cell r="BI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U507">
            <v>0</v>
          </cell>
          <cell r="BV507">
            <v>0</v>
          </cell>
          <cell r="BW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1</v>
          </cell>
          <cell r="CE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N507">
            <v>0</v>
          </cell>
          <cell r="CO507">
            <v>0</v>
          </cell>
          <cell r="CP507">
            <v>0</v>
          </cell>
          <cell r="CS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H507">
            <v>0</v>
          </cell>
          <cell r="DL507">
            <v>0</v>
          </cell>
          <cell r="DM507">
            <v>0</v>
          </cell>
          <cell r="DO507">
            <v>0</v>
          </cell>
          <cell r="DQ507">
            <v>0</v>
          </cell>
          <cell r="DW507">
            <v>0</v>
          </cell>
          <cell r="DX507">
            <v>0</v>
          </cell>
          <cell r="DY507">
            <v>0</v>
          </cell>
          <cell r="DZ507">
            <v>0</v>
          </cell>
          <cell r="EA507">
            <v>0</v>
          </cell>
          <cell r="EB507">
            <v>0</v>
          </cell>
          <cell r="EC507">
            <v>0</v>
          </cell>
        </row>
        <row r="508"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R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BA508">
            <v>0</v>
          </cell>
          <cell r="BB508">
            <v>0</v>
          </cell>
          <cell r="BH508">
            <v>0</v>
          </cell>
          <cell r="BI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U508">
            <v>0</v>
          </cell>
          <cell r="BV508">
            <v>0</v>
          </cell>
          <cell r="BW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N508">
            <v>0</v>
          </cell>
          <cell r="CO508">
            <v>0</v>
          </cell>
          <cell r="CP508">
            <v>0</v>
          </cell>
          <cell r="CS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L508">
            <v>0</v>
          </cell>
          <cell r="DM508">
            <v>0</v>
          </cell>
          <cell r="DO508">
            <v>0</v>
          </cell>
          <cell r="DQ508">
            <v>0</v>
          </cell>
          <cell r="DW508">
            <v>0</v>
          </cell>
          <cell r="DX508">
            <v>0</v>
          </cell>
          <cell r="DY508">
            <v>0</v>
          </cell>
          <cell r="DZ508">
            <v>0</v>
          </cell>
          <cell r="EA508">
            <v>0</v>
          </cell>
          <cell r="EB508">
            <v>0</v>
          </cell>
          <cell r="EC508">
            <v>0</v>
          </cell>
        </row>
        <row r="509"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3</v>
          </cell>
          <cell r="R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U509">
            <v>0</v>
          </cell>
          <cell r="AV509">
            <v>0</v>
          </cell>
          <cell r="AW509">
            <v>3</v>
          </cell>
          <cell r="AX509">
            <v>0</v>
          </cell>
          <cell r="AY509">
            <v>0</v>
          </cell>
          <cell r="BA509">
            <v>0</v>
          </cell>
          <cell r="BB509">
            <v>0</v>
          </cell>
          <cell r="BH509">
            <v>0</v>
          </cell>
          <cell r="BI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U509">
            <v>0</v>
          </cell>
          <cell r="BV509">
            <v>0</v>
          </cell>
          <cell r="BW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N509">
            <v>0</v>
          </cell>
          <cell r="CO509">
            <v>0</v>
          </cell>
          <cell r="CP509">
            <v>0</v>
          </cell>
          <cell r="CS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L509">
            <v>0</v>
          </cell>
          <cell r="DM509">
            <v>0</v>
          </cell>
          <cell r="DO509">
            <v>0</v>
          </cell>
          <cell r="DQ509">
            <v>0</v>
          </cell>
          <cell r="DW509">
            <v>0</v>
          </cell>
          <cell r="DX509">
            <v>0</v>
          </cell>
          <cell r="DY509">
            <v>0</v>
          </cell>
          <cell r="DZ509">
            <v>0</v>
          </cell>
          <cell r="EA509">
            <v>0</v>
          </cell>
          <cell r="EB509">
            <v>0</v>
          </cell>
          <cell r="EC509">
            <v>0</v>
          </cell>
        </row>
        <row r="510">
          <cell r="D510">
            <v>1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K510">
            <v>0</v>
          </cell>
          <cell r="L510">
            <v>0</v>
          </cell>
          <cell r="M510">
            <v>1</v>
          </cell>
          <cell r="N510">
            <v>0</v>
          </cell>
          <cell r="R510">
            <v>0</v>
          </cell>
          <cell r="V510">
            <v>0</v>
          </cell>
          <cell r="W510">
            <v>0</v>
          </cell>
          <cell r="X510">
            <v>2</v>
          </cell>
          <cell r="Y510">
            <v>4</v>
          </cell>
          <cell r="Z510">
            <v>0</v>
          </cell>
          <cell r="AA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1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N510">
            <v>1</v>
          </cell>
          <cell r="AO510">
            <v>1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U510">
            <v>0</v>
          </cell>
          <cell r="AV510">
            <v>0</v>
          </cell>
          <cell r="AW510">
            <v>1</v>
          </cell>
          <cell r="AX510">
            <v>0</v>
          </cell>
          <cell r="AY510">
            <v>1</v>
          </cell>
          <cell r="BA510">
            <v>0</v>
          </cell>
          <cell r="BB510">
            <v>0</v>
          </cell>
          <cell r="BH510">
            <v>0</v>
          </cell>
          <cell r="BI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U510">
            <v>0</v>
          </cell>
          <cell r="BV510">
            <v>0</v>
          </cell>
          <cell r="BW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N510">
            <v>0</v>
          </cell>
          <cell r="CO510">
            <v>0</v>
          </cell>
          <cell r="CP510">
            <v>0</v>
          </cell>
          <cell r="CS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L510">
            <v>0</v>
          </cell>
          <cell r="DM510">
            <v>0</v>
          </cell>
          <cell r="DO510">
            <v>0</v>
          </cell>
          <cell r="DQ510">
            <v>0</v>
          </cell>
          <cell r="DW510">
            <v>0</v>
          </cell>
          <cell r="DX510">
            <v>0</v>
          </cell>
          <cell r="DY510">
            <v>0</v>
          </cell>
          <cell r="DZ510">
            <v>0</v>
          </cell>
          <cell r="EA510">
            <v>0</v>
          </cell>
          <cell r="EB510">
            <v>0</v>
          </cell>
          <cell r="EC510">
            <v>0</v>
          </cell>
        </row>
        <row r="511"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R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BA511">
            <v>0</v>
          </cell>
          <cell r="BB511">
            <v>0</v>
          </cell>
          <cell r="BH511">
            <v>0</v>
          </cell>
          <cell r="BI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U511">
            <v>0</v>
          </cell>
          <cell r="BV511">
            <v>0</v>
          </cell>
          <cell r="BW511">
            <v>0</v>
          </cell>
          <cell r="BZ511">
            <v>0</v>
          </cell>
          <cell r="CA511">
            <v>1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N511">
            <v>0</v>
          </cell>
          <cell r="CO511">
            <v>0</v>
          </cell>
          <cell r="CP511">
            <v>0</v>
          </cell>
          <cell r="CS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L511">
            <v>0</v>
          </cell>
          <cell r="DM511">
            <v>0</v>
          </cell>
          <cell r="DO511">
            <v>0</v>
          </cell>
          <cell r="DQ511">
            <v>0</v>
          </cell>
          <cell r="DW511">
            <v>0</v>
          </cell>
          <cell r="DX511">
            <v>0</v>
          </cell>
          <cell r="DY511">
            <v>0</v>
          </cell>
          <cell r="DZ511">
            <v>0</v>
          </cell>
          <cell r="EA511">
            <v>0</v>
          </cell>
          <cell r="EB511">
            <v>0</v>
          </cell>
          <cell r="EC511">
            <v>0</v>
          </cell>
        </row>
        <row r="512"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R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BA512">
            <v>0</v>
          </cell>
          <cell r="BB512">
            <v>0</v>
          </cell>
          <cell r="BH512">
            <v>0</v>
          </cell>
          <cell r="BI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U512">
            <v>0</v>
          </cell>
          <cell r="BV512">
            <v>0</v>
          </cell>
          <cell r="BW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1</v>
          </cell>
          <cell r="CD512">
            <v>0</v>
          </cell>
          <cell r="CE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N512">
            <v>0</v>
          </cell>
          <cell r="CO512">
            <v>0</v>
          </cell>
          <cell r="CP512">
            <v>0</v>
          </cell>
          <cell r="CS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L512">
            <v>0</v>
          </cell>
          <cell r="DM512">
            <v>0</v>
          </cell>
          <cell r="DO512">
            <v>0</v>
          </cell>
          <cell r="DQ512">
            <v>0</v>
          </cell>
          <cell r="DW512">
            <v>0</v>
          </cell>
          <cell r="DX512">
            <v>0</v>
          </cell>
          <cell r="DY512">
            <v>0</v>
          </cell>
          <cell r="DZ512">
            <v>0</v>
          </cell>
          <cell r="EA512">
            <v>0</v>
          </cell>
          <cell r="EB512">
            <v>0</v>
          </cell>
          <cell r="EC512">
            <v>0</v>
          </cell>
        </row>
        <row r="513"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R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BA513">
            <v>0</v>
          </cell>
          <cell r="BB513">
            <v>0</v>
          </cell>
          <cell r="BH513">
            <v>0</v>
          </cell>
          <cell r="BI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U513">
            <v>0</v>
          </cell>
          <cell r="BV513">
            <v>0</v>
          </cell>
          <cell r="BW513">
            <v>1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N513">
            <v>0</v>
          </cell>
          <cell r="CO513">
            <v>0</v>
          </cell>
          <cell r="CP513">
            <v>0</v>
          </cell>
          <cell r="CS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L513">
            <v>0</v>
          </cell>
          <cell r="DM513">
            <v>0</v>
          </cell>
          <cell r="DO513">
            <v>0</v>
          </cell>
          <cell r="DQ513">
            <v>0</v>
          </cell>
          <cell r="DW513">
            <v>0</v>
          </cell>
          <cell r="DX513">
            <v>0</v>
          </cell>
          <cell r="DY513">
            <v>0</v>
          </cell>
          <cell r="DZ513">
            <v>0</v>
          </cell>
          <cell r="EA513">
            <v>0</v>
          </cell>
          <cell r="EB513">
            <v>0</v>
          </cell>
          <cell r="EC513">
            <v>0</v>
          </cell>
        </row>
        <row r="514"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R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BA514">
            <v>0</v>
          </cell>
          <cell r="BB514">
            <v>0</v>
          </cell>
          <cell r="BH514">
            <v>0</v>
          </cell>
          <cell r="BI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U514">
            <v>0</v>
          </cell>
          <cell r="BV514">
            <v>0</v>
          </cell>
          <cell r="BW514">
            <v>1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N514">
            <v>0</v>
          </cell>
          <cell r="CO514">
            <v>0</v>
          </cell>
          <cell r="CP514">
            <v>0</v>
          </cell>
          <cell r="CS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L514">
            <v>0</v>
          </cell>
          <cell r="DM514">
            <v>0</v>
          </cell>
          <cell r="DO514">
            <v>0</v>
          </cell>
          <cell r="DQ514">
            <v>0</v>
          </cell>
          <cell r="DW514">
            <v>0</v>
          </cell>
          <cell r="DX514">
            <v>0</v>
          </cell>
          <cell r="DY514">
            <v>0</v>
          </cell>
          <cell r="DZ514">
            <v>0</v>
          </cell>
          <cell r="EA514">
            <v>0</v>
          </cell>
          <cell r="EB514">
            <v>0</v>
          </cell>
          <cell r="EC514">
            <v>0</v>
          </cell>
        </row>
        <row r="515">
          <cell r="D515">
            <v>0</v>
          </cell>
          <cell r="E515">
            <v>0</v>
          </cell>
          <cell r="F515">
            <v>2</v>
          </cell>
          <cell r="G515">
            <v>0</v>
          </cell>
          <cell r="H515">
            <v>0</v>
          </cell>
          <cell r="I515">
            <v>2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R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2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1</v>
          </cell>
          <cell r="AR515">
            <v>0</v>
          </cell>
          <cell r="AS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BA515">
            <v>0</v>
          </cell>
          <cell r="BB515">
            <v>0</v>
          </cell>
          <cell r="BH515">
            <v>0</v>
          </cell>
          <cell r="BI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U515">
            <v>0</v>
          </cell>
          <cell r="BV515">
            <v>0</v>
          </cell>
          <cell r="BW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N515">
            <v>0</v>
          </cell>
          <cell r="CO515">
            <v>0</v>
          </cell>
          <cell r="CP515">
            <v>0</v>
          </cell>
          <cell r="CS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L515">
            <v>0</v>
          </cell>
          <cell r="DM515">
            <v>0</v>
          </cell>
          <cell r="DO515">
            <v>0</v>
          </cell>
          <cell r="DQ515">
            <v>0</v>
          </cell>
          <cell r="DW515">
            <v>0</v>
          </cell>
          <cell r="DX515">
            <v>0</v>
          </cell>
          <cell r="DY515">
            <v>0</v>
          </cell>
          <cell r="DZ515">
            <v>0</v>
          </cell>
          <cell r="EA515">
            <v>0</v>
          </cell>
          <cell r="EB515">
            <v>0</v>
          </cell>
          <cell r="EC515">
            <v>0</v>
          </cell>
        </row>
        <row r="516">
          <cell r="D516">
            <v>1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R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BA516">
            <v>0</v>
          </cell>
          <cell r="BB516">
            <v>0</v>
          </cell>
          <cell r="BH516">
            <v>0</v>
          </cell>
          <cell r="BI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U516">
            <v>0</v>
          </cell>
          <cell r="BV516">
            <v>0</v>
          </cell>
          <cell r="BW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N516">
            <v>0</v>
          </cell>
          <cell r="CO516">
            <v>0</v>
          </cell>
          <cell r="CP516">
            <v>0</v>
          </cell>
          <cell r="CS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H516">
            <v>0</v>
          </cell>
          <cell r="DL516">
            <v>0</v>
          </cell>
          <cell r="DM516">
            <v>0</v>
          </cell>
          <cell r="DO516">
            <v>0</v>
          </cell>
          <cell r="DQ516">
            <v>0</v>
          </cell>
          <cell r="DW516">
            <v>0</v>
          </cell>
          <cell r="DX516">
            <v>0</v>
          </cell>
          <cell r="DY516">
            <v>0</v>
          </cell>
          <cell r="DZ516">
            <v>0</v>
          </cell>
          <cell r="EA516">
            <v>0</v>
          </cell>
          <cell r="EB516">
            <v>0</v>
          </cell>
          <cell r="EC516">
            <v>0</v>
          </cell>
        </row>
        <row r="517"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R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BA517">
            <v>0</v>
          </cell>
          <cell r="BB517">
            <v>0</v>
          </cell>
          <cell r="BH517">
            <v>0</v>
          </cell>
          <cell r="BI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U517">
            <v>0</v>
          </cell>
          <cell r="BV517">
            <v>0</v>
          </cell>
          <cell r="BW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N517">
            <v>0</v>
          </cell>
          <cell r="CO517">
            <v>0</v>
          </cell>
          <cell r="CP517">
            <v>0</v>
          </cell>
          <cell r="CS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H517">
            <v>0</v>
          </cell>
          <cell r="DL517">
            <v>0</v>
          </cell>
          <cell r="DM517">
            <v>0</v>
          </cell>
          <cell r="DO517">
            <v>0</v>
          </cell>
          <cell r="DQ517">
            <v>0</v>
          </cell>
          <cell r="DW517">
            <v>0</v>
          </cell>
          <cell r="DX517">
            <v>0</v>
          </cell>
          <cell r="DY517">
            <v>0</v>
          </cell>
          <cell r="DZ517">
            <v>0</v>
          </cell>
          <cell r="EA517">
            <v>0</v>
          </cell>
          <cell r="EB517">
            <v>0</v>
          </cell>
          <cell r="EC517">
            <v>0</v>
          </cell>
        </row>
        <row r="518"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R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BA518">
            <v>0</v>
          </cell>
          <cell r="BB518">
            <v>0</v>
          </cell>
          <cell r="BH518">
            <v>0</v>
          </cell>
          <cell r="BI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U518">
            <v>0</v>
          </cell>
          <cell r="BV518">
            <v>0</v>
          </cell>
          <cell r="BW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N518">
            <v>0</v>
          </cell>
          <cell r="CO518">
            <v>0</v>
          </cell>
          <cell r="CP518">
            <v>0</v>
          </cell>
          <cell r="CS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L518">
            <v>0</v>
          </cell>
          <cell r="DM518">
            <v>0</v>
          </cell>
          <cell r="DO518">
            <v>0</v>
          </cell>
          <cell r="DQ518">
            <v>0</v>
          </cell>
          <cell r="DW518">
            <v>0</v>
          </cell>
          <cell r="DX518">
            <v>0</v>
          </cell>
          <cell r="DY518">
            <v>0</v>
          </cell>
          <cell r="DZ518">
            <v>0</v>
          </cell>
          <cell r="EA518">
            <v>0</v>
          </cell>
          <cell r="EB518">
            <v>0</v>
          </cell>
          <cell r="EC518">
            <v>0</v>
          </cell>
        </row>
        <row r="519"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R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BA519">
            <v>0</v>
          </cell>
          <cell r="BB519">
            <v>0</v>
          </cell>
          <cell r="BH519">
            <v>0</v>
          </cell>
          <cell r="BI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1</v>
          </cell>
          <cell r="BS519">
            <v>0</v>
          </cell>
          <cell r="BU519">
            <v>0</v>
          </cell>
          <cell r="BV519">
            <v>0</v>
          </cell>
          <cell r="BW519">
            <v>0</v>
          </cell>
          <cell r="BZ519">
            <v>0</v>
          </cell>
          <cell r="CA519">
            <v>0</v>
          </cell>
          <cell r="CB519">
            <v>1</v>
          </cell>
          <cell r="CC519">
            <v>0</v>
          </cell>
          <cell r="CD519">
            <v>0</v>
          </cell>
          <cell r="CE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N519">
            <v>0</v>
          </cell>
          <cell r="CO519">
            <v>0</v>
          </cell>
          <cell r="CP519">
            <v>0</v>
          </cell>
          <cell r="CS519">
            <v>0</v>
          </cell>
          <cell r="CU519">
            <v>1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H519">
            <v>0</v>
          </cell>
          <cell r="DL519">
            <v>0</v>
          </cell>
          <cell r="DM519">
            <v>0</v>
          </cell>
          <cell r="DO519">
            <v>0</v>
          </cell>
          <cell r="DQ519">
            <v>0</v>
          </cell>
          <cell r="DW519">
            <v>0</v>
          </cell>
          <cell r="DX519">
            <v>0</v>
          </cell>
          <cell r="DY519">
            <v>0</v>
          </cell>
          <cell r="DZ519">
            <v>0</v>
          </cell>
          <cell r="EA519">
            <v>0</v>
          </cell>
          <cell r="EB519">
            <v>0</v>
          </cell>
          <cell r="EC519">
            <v>0</v>
          </cell>
        </row>
        <row r="520"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R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BA520">
            <v>0</v>
          </cell>
          <cell r="BB520">
            <v>0</v>
          </cell>
          <cell r="BH520">
            <v>0</v>
          </cell>
          <cell r="BI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U520">
            <v>0</v>
          </cell>
          <cell r="BV520">
            <v>0</v>
          </cell>
          <cell r="BW520">
            <v>0</v>
          </cell>
          <cell r="BZ520">
            <v>0</v>
          </cell>
          <cell r="CA520">
            <v>1</v>
          </cell>
          <cell r="CB520">
            <v>0</v>
          </cell>
          <cell r="CC520">
            <v>1</v>
          </cell>
          <cell r="CD520">
            <v>0</v>
          </cell>
          <cell r="CE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N520">
            <v>0</v>
          </cell>
          <cell r="CO520">
            <v>0</v>
          </cell>
          <cell r="CP520">
            <v>0</v>
          </cell>
          <cell r="CS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L520">
            <v>0</v>
          </cell>
          <cell r="DM520">
            <v>0</v>
          </cell>
          <cell r="DO520">
            <v>0</v>
          </cell>
          <cell r="DQ520">
            <v>0</v>
          </cell>
          <cell r="DW520">
            <v>0</v>
          </cell>
          <cell r="DX520">
            <v>0</v>
          </cell>
          <cell r="DY520">
            <v>0</v>
          </cell>
          <cell r="DZ520">
            <v>0</v>
          </cell>
          <cell r="EA520">
            <v>0</v>
          </cell>
          <cell r="EB520">
            <v>0</v>
          </cell>
          <cell r="EC520">
            <v>0</v>
          </cell>
        </row>
        <row r="521"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R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BA521">
            <v>0</v>
          </cell>
          <cell r="BB521">
            <v>0</v>
          </cell>
          <cell r="BH521">
            <v>0</v>
          </cell>
          <cell r="BI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U521">
            <v>0</v>
          </cell>
          <cell r="BV521">
            <v>0</v>
          </cell>
          <cell r="BW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N521">
            <v>0</v>
          </cell>
          <cell r="CO521">
            <v>0</v>
          </cell>
          <cell r="CP521">
            <v>0</v>
          </cell>
          <cell r="CS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L521">
            <v>0</v>
          </cell>
          <cell r="DM521">
            <v>0</v>
          </cell>
          <cell r="DO521">
            <v>0</v>
          </cell>
          <cell r="DQ521">
            <v>0</v>
          </cell>
          <cell r="DW521">
            <v>0</v>
          </cell>
          <cell r="DX521">
            <v>0</v>
          </cell>
          <cell r="DY521">
            <v>0</v>
          </cell>
          <cell r="DZ521">
            <v>0</v>
          </cell>
          <cell r="EA521">
            <v>0</v>
          </cell>
          <cell r="EB521">
            <v>0</v>
          </cell>
          <cell r="EC521">
            <v>0</v>
          </cell>
        </row>
        <row r="522"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R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BA522">
            <v>0</v>
          </cell>
          <cell r="BB522">
            <v>0</v>
          </cell>
          <cell r="BH522">
            <v>0</v>
          </cell>
          <cell r="BI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1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U522">
            <v>0</v>
          </cell>
          <cell r="BV522">
            <v>0</v>
          </cell>
          <cell r="BW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N522">
            <v>0</v>
          </cell>
          <cell r="CO522">
            <v>0</v>
          </cell>
          <cell r="CP522">
            <v>0</v>
          </cell>
          <cell r="CS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H522">
            <v>0</v>
          </cell>
          <cell r="DL522">
            <v>0</v>
          </cell>
          <cell r="DM522">
            <v>0</v>
          </cell>
          <cell r="DO522">
            <v>0</v>
          </cell>
          <cell r="DQ522">
            <v>0</v>
          </cell>
          <cell r="DW522">
            <v>0</v>
          </cell>
          <cell r="DX522">
            <v>0</v>
          </cell>
          <cell r="DY522">
            <v>0</v>
          </cell>
          <cell r="DZ522">
            <v>0</v>
          </cell>
          <cell r="EA522">
            <v>0</v>
          </cell>
          <cell r="EB522">
            <v>0</v>
          </cell>
          <cell r="EC522">
            <v>0</v>
          </cell>
        </row>
        <row r="523"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R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BA523">
            <v>0</v>
          </cell>
          <cell r="BB523">
            <v>0</v>
          </cell>
          <cell r="BH523">
            <v>0</v>
          </cell>
          <cell r="BI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U523">
            <v>0</v>
          </cell>
          <cell r="BV523">
            <v>0</v>
          </cell>
          <cell r="BW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N523">
            <v>0</v>
          </cell>
          <cell r="CO523">
            <v>0</v>
          </cell>
          <cell r="CP523">
            <v>0</v>
          </cell>
          <cell r="CS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L523">
            <v>0</v>
          </cell>
          <cell r="DM523">
            <v>0</v>
          </cell>
          <cell r="DO523">
            <v>0</v>
          </cell>
          <cell r="DQ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</row>
        <row r="524"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R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BA524">
            <v>0</v>
          </cell>
          <cell r="BB524">
            <v>0</v>
          </cell>
          <cell r="BH524">
            <v>0</v>
          </cell>
          <cell r="BI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U524">
            <v>0</v>
          </cell>
          <cell r="BV524">
            <v>0</v>
          </cell>
          <cell r="BW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N524">
            <v>0</v>
          </cell>
          <cell r="CO524">
            <v>0</v>
          </cell>
          <cell r="CP524">
            <v>0</v>
          </cell>
          <cell r="CS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L524">
            <v>0</v>
          </cell>
          <cell r="DM524">
            <v>0</v>
          </cell>
          <cell r="DO524">
            <v>0</v>
          </cell>
          <cell r="DQ524">
            <v>0</v>
          </cell>
          <cell r="DW524">
            <v>0</v>
          </cell>
          <cell r="DX524">
            <v>0</v>
          </cell>
          <cell r="DY524">
            <v>0</v>
          </cell>
          <cell r="DZ524">
            <v>0</v>
          </cell>
          <cell r="EA524">
            <v>0</v>
          </cell>
          <cell r="EB524">
            <v>0</v>
          </cell>
          <cell r="EC524">
            <v>0</v>
          </cell>
        </row>
        <row r="525">
          <cell r="D525">
            <v>0</v>
          </cell>
          <cell r="E525">
            <v>0</v>
          </cell>
          <cell r="F525">
            <v>1</v>
          </cell>
          <cell r="G525">
            <v>0</v>
          </cell>
          <cell r="H525">
            <v>0</v>
          </cell>
          <cell r="I525">
            <v>1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R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1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1</v>
          </cell>
          <cell r="AK525">
            <v>0</v>
          </cell>
          <cell r="AL525">
            <v>0</v>
          </cell>
          <cell r="AN525">
            <v>0</v>
          </cell>
          <cell r="AO525">
            <v>0</v>
          </cell>
          <cell r="AP525">
            <v>2</v>
          </cell>
          <cell r="AQ525">
            <v>1</v>
          </cell>
          <cell r="AR525">
            <v>0</v>
          </cell>
          <cell r="AS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BA525">
            <v>0</v>
          </cell>
          <cell r="BB525">
            <v>0</v>
          </cell>
          <cell r="BH525">
            <v>0</v>
          </cell>
          <cell r="BI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U525">
            <v>0</v>
          </cell>
          <cell r="BV525">
            <v>0</v>
          </cell>
          <cell r="BW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N525">
            <v>0</v>
          </cell>
          <cell r="CO525">
            <v>0</v>
          </cell>
          <cell r="CP525">
            <v>0</v>
          </cell>
          <cell r="CS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H525">
            <v>0</v>
          </cell>
          <cell r="DL525">
            <v>0</v>
          </cell>
          <cell r="DM525">
            <v>0</v>
          </cell>
          <cell r="DO525">
            <v>0</v>
          </cell>
          <cell r="DQ525">
            <v>0</v>
          </cell>
          <cell r="DW525">
            <v>0</v>
          </cell>
          <cell r="DX525">
            <v>0</v>
          </cell>
          <cell r="DY525">
            <v>0</v>
          </cell>
          <cell r="DZ525">
            <v>0</v>
          </cell>
          <cell r="EA525">
            <v>0</v>
          </cell>
          <cell r="EB525">
            <v>0</v>
          </cell>
          <cell r="EC525">
            <v>0</v>
          </cell>
        </row>
        <row r="526"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R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1</v>
          </cell>
          <cell r="AR526">
            <v>0</v>
          </cell>
          <cell r="AS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BA526">
            <v>0</v>
          </cell>
          <cell r="BB526">
            <v>0</v>
          </cell>
          <cell r="BH526">
            <v>0</v>
          </cell>
          <cell r="BI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U526">
            <v>0</v>
          </cell>
          <cell r="BV526">
            <v>0</v>
          </cell>
          <cell r="BW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N526">
            <v>0</v>
          </cell>
          <cell r="CO526">
            <v>0</v>
          </cell>
          <cell r="CP526">
            <v>0</v>
          </cell>
          <cell r="CS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H526">
            <v>0</v>
          </cell>
          <cell r="DL526">
            <v>0</v>
          </cell>
          <cell r="DM526">
            <v>0</v>
          </cell>
          <cell r="DO526">
            <v>0</v>
          </cell>
          <cell r="DQ526">
            <v>0</v>
          </cell>
          <cell r="DW526">
            <v>0</v>
          </cell>
          <cell r="DX526">
            <v>0</v>
          </cell>
          <cell r="DY526">
            <v>0</v>
          </cell>
          <cell r="DZ526">
            <v>0</v>
          </cell>
          <cell r="EA526">
            <v>0</v>
          </cell>
          <cell r="EB526">
            <v>0</v>
          </cell>
          <cell r="EC526">
            <v>0</v>
          </cell>
        </row>
        <row r="527"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R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U527">
            <v>1</v>
          </cell>
          <cell r="AV527">
            <v>1</v>
          </cell>
          <cell r="AW527">
            <v>0</v>
          </cell>
          <cell r="AX527">
            <v>0</v>
          </cell>
          <cell r="AY527">
            <v>0</v>
          </cell>
          <cell r="BA527">
            <v>0</v>
          </cell>
          <cell r="BB527">
            <v>0</v>
          </cell>
          <cell r="BH527">
            <v>0</v>
          </cell>
          <cell r="BI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U527">
            <v>0</v>
          </cell>
          <cell r="BV527">
            <v>0</v>
          </cell>
          <cell r="BW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N527">
            <v>0</v>
          </cell>
          <cell r="CO527">
            <v>0</v>
          </cell>
          <cell r="CP527">
            <v>0</v>
          </cell>
          <cell r="CS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L527">
            <v>0</v>
          </cell>
          <cell r="DM527">
            <v>0</v>
          </cell>
          <cell r="DO527">
            <v>0</v>
          </cell>
          <cell r="DQ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>
            <v>0</v>
          </cell>
          <cell r="EB527">
            <v>0</v>
          </cell>
          <cell r="EC527">
            <v>0</v>
          </cell>
        </row>
        <row r="528"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R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U528">
            <v>2</v>
          </cell>
          <cell r="AV528">
            <v>2</v>
          </cell>
          <cell r="AW528">
            <v>0</v>
          </cell>
          <cell r="AX528">
            <v>0</v>
          </cell>
          <cell r="AY528">
            <v>0</v>
          </cell>
          <cell r="BA528">
            <v>0</v>
          </cell>
          <cell r="BB528">
            <v>0</v>
          </cell>
          <cell r="BH528">
            <v>0</v>
          </cell>
          <cell r="BI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U528">
            <v>0</v>
          </cell>
          <cell r="BV528">
            <v>0</v>
          </cell>
          <cell r="BW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N528">
            <v>0</v>
          </cell>
          <cell r="CO528">
            <v>0</v>
          </cell>
          <cell r="CP528">
            <v>0</v>
          </cell>
          <cell r="CS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L528">
            <v>0</v>
          </cell>
          <cell r="DM528">
            <v>0</v>
          </cell>
          <cell r="DO528">
            <v>0</v>
          </cell>
          <cell r="DQ528">
            <v>0</v>
          </cell>
          <cell r="DW528">
            <v>0</v>
          </cell>
          <cell r="DX528">
            <v>0</v>
          </cell>
          <cell r="DY528">
            <v>0</v>
          </cell>
          <cell r="DZ528">
            <v>0</v>
          </cell>
          <cell r="EA528">
            <v>0</v>
          </cell>
          <cell r="EB528">
            <v>0</v>
          </cell>
          <cell r="EC528">
            <v>0</v>
          </cell>
        </row>
        <row r="529"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R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U529">
            <v>1</v>
          </cell>
          <cell r="AV529">
            <v>1</v>
          </cell>
          <cell r="AW529">
            <v>0</v>
          </cell>
          <cell r="AX529">
            <v>0</v>
          </cell>
          <cell r="AY529">
            <v>0</v>
          </cell>
          <cell r="BA529">
            <v>0</v>
          </cell>
          <cell r="BB529">
            <v>0</v>
          </cell>
          <cell r="BH529">
            <v>0</v>
          </cell>
          <cell r="BI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U529">
            <v>0</v>
          </cell>
          <cell r="BV529">
            <v>0</v>
          </cell>
          <cell r="BW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N529">
            <v>0</v>
          </cell>
          <cell r="CO529">
            <v>0</v>
          </cell>
          <cell r="CP529">
            <v>0</v>
          </cell>
          <cell r="CS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H529">
            <v>0</v>
          </cell>
          <cell r="DL529">
            <v>0</v>
          </cell>
          <cell r="DM529">
            <v>0</v>
          </cell>
          <cell r="DO529">
            <v>0</v>
          </cell>
          <cell r="DQ529">
            <v>0</v>
          </cell>
          <cell r="DW529">
            <v>0</v>
          </cell>
          <cell r="DX529">
            <v>0</v>
          </cell>
          <cell r="DY529">
            <v>0</v>
          </cell>
          <cell r="DZ529">
            <v>0</v>
          </cell>
          <cell r="EA529">
            <v>0</v>
          </cell>
          <cell r="EB529">
            <v>0</v>
          </cell>
          <cell r="EC529">
            <v>0</v>
          </cell>
        </row>
        <row r="530"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R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BA530">
            <v>0</v>
          </cell>
          <cell r="BB530">
            <v>0</v>
          </cell>
          <cell r="BH530">
            <v>0</v>
          </cell>
          <cell r="BI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U530">
            <v>0</v>
          </cell>
          <cell r="BV530">
            <v>0</v>
          </cell>
          <cell r="BW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N530">
            <v>0</v>
          </cell>
          <cell r="CO530">
            <v>0</v>
          </cell>
          <cell r="CP530">
            <v>0</v>
          </cell>
          <cell r="CS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L530">
            <v>0</v>
          </cell>
          <cell r="DM530">
            <v>0</v>
          </cell>
          <cell r="DO530">
            <v>0</v>
          </cell>
          <cell r="DQ530">
            <v>0</v>
          </cell>
          <cell r="DW530">
            <v>0</v>
          </cell>
          <cell r="DX530">
            <v>0</v>
          </cell>
          <cell r="DY530">
            <v>0</v>
          </cell>
          <cell r="DZ530">
            <v>0</v>
          </cell>
          <cell r="EA530">
            <v>0</v>
          </cell>
          <cell r="EB530">
            <v>0</v>
          </cell>
          <cell r="EC530">
            <v>0</v>
          </cell>
        </row>
        <row r="531"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R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BA531">
            <v>0</v>
          </cell>
          <cell r="BB531">
            <v>0</v>
          </cell>
          <cell r="BH531">
            <v>0</v>
          </cell>
          <cell r="BI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U531">
            <v>0</v>
          </cell>
          <cell r="BV531">
            <v>1</v>
          </cell>
          <cell r="BW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N531">
            <v>0</v>
          </cell>
          <cell r="CO531">
            <v>0</v>
          </cell>
          <cell r="CP531">
            <v>0</v>
          </cell>
          <cell r="CS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L531">
            <v>0</v>
          </cell>
          <cell r="DM531">
            <v>0</v>
          </cell>
          <cell r="DO531">
            <v>0</v>
          </cell>
          <cell r="DQ531">
            <v>0</v>
          </cell>
          <cell r="DW531">
            <v>0</v>
          </cell>
          <cell r="DX531">
            <v>0</v>
          </cell>
          <cell r="DY531">
            <v>0</v>
          </cell>
          <cell r="DZ531">
            <v>0</v>
          </cell>
          <cell r="EA531">
            <v>0</v>
          </cell>
          <cell r="EB531">
            <v>0</v>
          </cell>
          <cell r="EC531">
            <v>0</v>
          </cell>
        </row>
        <row r="532"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R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BA532">
            <v>0</v>
          </cell>
          <cell r="BB532">
            <v>0</v>
          </cell>
          <cell r="BH532">
            <v>0</v>
          </cell>
          <cell r="BI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U532">
            <v>0</v>
          </cell>
          <cell r="BV532">
            <v>0</v>
          </cell>
          <cell r="BW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N532">
            <v>0</v>
          </cell>
          <cell r="CO532">
            <v>0</v>
          </cell>
          <cell r="CP532">
            <v>0</v>
          </cell>
          <cell r="CS532">
            <v>0</v>
          </cell>
          <cell r="CU532">
            <v>0</v>
          </cell>
          <cell r="CV532">
            <v>0</v>
          </cell>
          <cell r="CW532">
            <v>1</v>
          </cell>
          <cell r="CX532">
            <v>0</v>
          </cell>
          <cell r="CY532">
            <v>0</v>
          </cell>
          <cell r="CZ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L532">
            <v>1</v>
          </cell>
          <cell r="DM532">
            <v>1</v>
          </cell>
          <cell r="DO532">
            <v>0</v>
          </cell>
          <cell r="DQ532">
            <v>0</v>
          </cell>
          <cell r="DW532">
            <v>0</v>
          </cell>
          <cell r="DX532">
            <v>0</v>
          </cell>
          <cell r="DY532">
            <v>0</v>
          </cell>
          <cell r="DZ532">
            <v>0</v>
          </cell>
          <cell r="EA532">
            <v>0</v>
          </cell>
          <cell r="EB532">
            <v>0</v>
          </cell>
          <cell r="EC532">
            <v>0</v>
          </cell>
        </row>
        <row r="533"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R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BA533">
            <v>0</v>
          </cell>
          <cell r="BB533">
            <v>0</v>
          </cell>
          <cell r="BH533">
            <v>0</v>
          </cell>
          <cell r="BI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U533">
            <v>0</v>
          </cell>
          <cell r="BV533">
            <v>0</v>
          </cell>
          <cell r="BW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H533">
            <v>0</v>
          </cell>
          <cell r="CI533">
            <v>1</v>
          </cell>
          <cell r="CJ533">
            <v>1</v>
          </cell>
          <cell r="CK533">
            <v>0</v>
          </cell>
          <cell r="CN533">
            <v>0</v>
          </cell>
          <cell r="CO533">
            <v>0</v>
          </cell>
          <cell r="CP533">
            <v>0</v>
          </cell>
          <cell r="CS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L533">
            <v>0</v>
          </cell>
          <cell r="DM533">
            <v>0</v>
          </cell>
          <cell r="DO533">
            <v>0</v>
          </cell>
          <cell r="DQ533">
            <v>0</v>
          </cell>
          <cell r="DW533">
            <v>0</v>
          </cell>
          <cell r="DX533">
            <v>0</v>
          </cell>
          <cell r="DY533">
            <v>0</v>
          </cell>
          <cell r="DZ533">
            <v>0</v>
          </cell>
          <cell r="EA533">
            <v>0</v>
          </cell>
          <cell r="EB533">
            <v>0</v>
          </cell>
          <cell r="EC533">
            <v>0</v>
          </cell>
        </row>
        <row r="534"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R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BA534">
            <v>0</v>
          </cell>
          <cell r="BB534">
            <v>0</v>
          </cell>
          <cell r="BH534">
            <v>0</v>
          </cell>
          <cell r="BI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U534">
            <v>0</v>
          </cell>
          <cell r="BV534">
            <v>0</v>
          </cell>
          <cell r="BW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N534">
            <v>0</v>
          </cell>
          <cell r="CO534">
            <v>1</v>
          </cell>
          <cell r="CP534">
            <v>0</v>
          </cell>
          <cell r="CS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H534">
            <v>0</v>
          </cell>
          <cell r="DL534">
            <v>0</v>
          </cell>
          <cell r="DM534">
            <v>0</v>
          </cell>
          <cell r="DO534">
            <v>0</v>
          </cell>
          <cell r="DQ534">
            <v>0</v>
          </cell>
          <cell r="DW534">
            <v>0</v>
          </cell>
          <cell r="DX534">
            <v>0</v>
          </cell>
          <cell r="DY534">
            <v>0</v>
          </cell>
          <cell r="DZ534">
            <v>0</v>
          </cell>
          <cell r="EA534">
            <v>0</v>
          </cell>
          <cell r="EB534">
            <v>0</v>
          </cell>
          <cell r="EC534">
            <v>0</v>
          </cell>
        </row>
        <row r="535"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R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BA535">
            <v>0</v>
          </cell>
          <cell r="BB535">
            <v>0</v>
          </cell>
          <cell r="BH535">
            <v>0</v>
          </cell>
          <cell r="BI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1</v>
          </cell>
          <cell r="BS535">
            <v>0</v>
          </cell>
          <cell r="BU535">
            <v>0</v>
          </cell>
          <cell r="BV535">
            <v>0</v>
          </cell>
          <cell r="BW535">
            <v>0</v>
          </cell>
          <cell r="BZ535">
            <v>0</v>
          </cell>
          <cell r="CA535">
            <v>0</v>
          </cell>
          <cell r="CB535">
            <v>1</v>
          </cell>
          <cell r="CC535">
            <v>0</v>
          </cell>
          <cell r="CD535">
            <v>0</v>
          </cell>
          <cell r="CE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N535">
            <v>0</v>
          </cell>
          <cell r="CO535">
            <v>0</v>
          </cell>
          <cell r="CP535">
            <v>0</v>
          </cell>
          <cell r="CS535">
            <v>0</v>
          </cell>
          <cell r="CU535">
            <v>1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L535">
            <v>0</v>
          </cell>
          <cell r="DM535">
            <v>0</v>
          </cell>
          <cell r="DO535">
            <v>0</v>
          </cell>
          <cell r="DQ535">
            <v>0</v>
          </cell>
          <cell r="DW535">
            <v>0</v>
          </cell>
          <cell r="DX535">
            <v>0</v>
          </cell>
          <cell r="DY535">
            <v>0</v>
          </cell>
          <cell r="DZ535">
            <v>0</v>
          </cell>
          <cell r="EA535">
            <v>0</v>
          </cell>
          <cell r="EB535">
            <v>0</v>
          </cell>
          <cell r="EC535">
            <v>0</v>
          </cell>
        </row>
        <row r="536"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R536">
            <v>0</v>
          </cell>
          <cell r="V536">
            <v>1</v>
          </cell>
          <cell r="W536">
            <v>1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BA536">
            <v>0</v>
          </cell>
          <cell r="BB536">
            <v>0</v>
          </cell>
          <cell r="BH536">
            <v>0</v>
          </cell>
          <cell r="BI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U536">
            <v>0</v>
          </cell>
          <cell r="BV536">
            <v>0</v>
          </cell>
          <cell r="BW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N536">
            <v>0</v>
          </cell>
          <cell r="CO536">
            <v>0</v>
          </cell>
          <cell r="CP536">
            <v>0</v>
          </cell>
          <cell r="CS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L536">
            <v>0</v>
          </cell>
          <cell r="DM536">
            <v>0</v>
          </cell>
          <cell r="DO536">
            <v>0</v>
          </cell>
          <cell r="DQ536">
            <v>0</v>
          </cell>
          <cell r="DW536">
            <v>0</v>
          </cell>
          <cell r="DX536">
            <v>0</v>
          </cell>
          <cell r="DY536">
            <v>0</v>
          </cell>
          <cell r="DZ536">
            <v>0</v>
          </cell>
          <cell r="EA536">
            <v>0</v>
          </cell>
          <cell r="EB536">
            <v>0</v>
          </cell>
          <cell r="EC536">
            <v>0</v>
          </cell>
        </row>
        <row r="537"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R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BA537">
            <v>0</v>
          </cell>
          <cell r="BB537">
            <v>0</v>
          </cell>
          <cell r="BH537">
            <v>0</v>
          </cell>
          <cell r="BI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U537">
            <v>1</v>
          </cell>
          <cell r="BV537">
            <v>0</v>
          </cell>
          <cell r="BW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N537">
            <v>0</v>
          </cell>
          <cell r="CO537">
            <v>0</v>
          </cell>
          <cell r="CP537">
            <v>0</v>
          </cell>
          <cell r="CS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L537">
            <v>0</v>
          </cell>
          <cell r="DM537">
            <v>0</v>
          </cell>
          <cell r="DO537">
            <v>0</v>
          </cell>
          <cell r="DQ537">
            <v>0</v>
          </cell>
          <cell r="DW537">
            <v>0</v>
          </cell>
          <cell r="DX537">
            <v>0</v>
          </cell>
          <cell r="DY537">
            <v>0</v>
          </cell>
          <cell r="DZ537">
            <v>0</v>
          </cell>
          <cell r="EA537">
            <v>0</v>
          </cell>
          <cell r="EB537">
            <v>0</v>
          </cell>
          <cell r="EC537">
            <v>0</v>
          </cell>
        </row>
        <row r="538"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R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BA538">
            <v>0</v>
          </cell>
          <cell r="BB538">
            <v>0</v>
          </cell>
          <cell r="BH538">
            <v>0</v>
          </cell>
          <cell r="BI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U538">
            <v>0</v>
          </cell>
          <cell r="BV538">
            <v>0</v>
          </cell>
          <cell r="BW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N538">
            <v>0</v>
          </cell>
          <cell r="CO538">
            <v>0</v>
          </cell>
          <cell r="CP538">
            <v>0</v>
          </cell>
          <cell r="CS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L538">
            <v>0</v>
          </cell>
          <cell r="DM538">
            <v>0</v>
          </cell>
          <cell r="DO538">
            <v>0</v>
          </cell>
          <cell r="DQ538">
            <v>0</v>
          </cell>
          <cell r="DW538">
            <v>0</v>
          </cell>
          <cell r="DX538">
            <v>0</v>
          </cell>
          <cell r="DY538">
            <v>0</v>
          </cell>
          <cell r="DZ538">
            <v>0</v>
          </cell>
          <cell r="EA538">
            <v>0</v>
          </cell>
          <cell r="EB538">
            <v>0</v>
          </cell>
          <cell r="EC538">
            <v>0</v>
          </cell>
        </row>
        <row r="539"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R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BA539">
            <v>0</v>
          </cell>
          <cell r="BB539">
            <v>0</v>
          </cell>
          <cell r="BH539">
            <v>0</v>
          </cell>
          <cell r="BI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U539">
            <v>0</v>
          </cell>
          <cell r="BV539">
            <v>0</v>
          </cell>
          <cell r="BW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N539">
            <v>0</v>
          </cell>
          <cell r="CO539">
            <v>0</v>
          </cell>
          <cell r="CP539">
            <v>0</v>
          </cell>
          <cell r="CS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L539">
            <v>0</v>
          </cell>
          <cell r="DM539">
            <v>0</v>
          </cell>
          <cell r="DO539">
            <v>0</v>
          </cell>
          <cell r="DQ539">
            <v>0</v>
          </cell>
          <cell r="DW539">
            <v>0</v>
          </cell>
          <cell r="DX539">
            <v>0</v>
          </cell>
          <cell r="DY539">
            <v>0</v>
          </cell>
          <cell r="DZ539">
            <v>0</v>
          </cell>
          <cell r="EA539">
            <v>0</v>
          </cell>
          <cell r="EB539">
            <v>0</v>
          </cell>
          <cell r="EC539">
            <v>0</v>
          </cell>
        </row>
        <row r="540"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R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BA540">
            <v>0</v>
          </cell>
          <cell r="BB540">
            <v>0</v>
          </cell>
          <cell r="BH540">
            <v>0</v>
          </cell>
          <cell r="BI540">
            <v>0</v>
          </cell>
          <cell r="BL540">
            <v>0</v>
          </cell>
          <cell r="BM540">
            <v>0</v>
          </cell>
          <cell r="BN540">
            <v>2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U540">
            <v>0</v>
          </cell>
          <cell r="BV540">
            <v>0</v>
          </cell>
          <cell r="BW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N540">
            <v>0</v>
          </cell>
          <cell r="CO540">
            <v>0</v>
          </cell>
          <cell r="CP540">
            <v>0</v>
          </cell>
          <cell r="CS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L540">
            <v>0</v>
          </cell>
          <cell r="DM540">
            <v>0</v>
          </cell>
          <cell r="DO540">
            <v>0</v>
          </cell>
          <cell r="DQ540">
            <v>0</v>
          </cell>
          <cell r="DW540">
            <v>0</v>
          </cell>
          <cell r="DX540">
            <v>0</v>
          </cell>
          <cell r="DY540">
            <v>0</v>
          </cell>
          <cell r="DZ540">
            <v>0</v>
          </cell>
          <cell r="EA540">
            <v>0</v>
          </cell>
          <cell r="EB540">
            <v>0</v>
          </cell>
          <cell r="EC540">
            <v>0</v>
          </cell>
        </row>
        <row r="541"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R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BA541">
            <v>0</v>
          </cell>
          <cell r="BB541">
            <v>0</v>
          </cell>
          <cell r="BH541">
            <v>0</v>
          </cell>
          <cell r="BI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U541">
            <v>0</v>
          </cell>
          <cell r="BV541">
            <v>0</v>
          </cell>
          <cell r="BW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N541">
            <v>0</v>
          </cell>
          <cell r="CO541">
            <v>0</v>
          </cell>
          <cell r="CP541">
            <v>0</v>
          </cell>
          <cell r="CS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L541">
            <v>0</v>
          </cell>
          <cell r="DM541">
            <v>0</v>
          </cell>
          <cell r="DO541">
            <v>0</v>
          </cell>
          <cell r="DQ541">
            <v>0</v>
          </cell>
          <cell r="DW541">
            <v>0</v>
          </cell>
          <cell r="DX541">
            <v>0</v>
          </cell>
          <cell r="DY541">
            <v>0</v>
          </cell>
          <cell r="DZ541">
            <v>0</v>
          </cell>
          <cell r="EA541">
            <v>0</v>
          </cell>
          <cell r="EB541">
            <v>0</v>
          </cell>
          <cell r="EC541">
            <v>0</v>
          </cell>
        </row>
        <row r="542"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R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BA542">
            <v>0</v>
          </cell>
          <cell r="BB542">
            <v>0</v>
          </cell>
          <cell r="BH542">
            <v>0</v>
          </cell>
          <cell r="BI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U542">
            <v>0</v>
          </cell>
          <cell r="BV542">
            <v>0</v>
          </cell>
          <cell r="BW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N542">
            <v>0</v>
          </cell>
          <cell r="CO542">
            <v>0</v>
          </cell>
          <cell r="CP542">
            <v>0</v>
          </cell>
          <cell r="CS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B542">
            <v>3</v>
          </cell>
          <cell r="DC542">
            <v>0</v>
          </cell>
          <cell r="DD542">
            <v>4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L542">
            <v>0</v>
          </cell>
          <cell r="DM542">
            <v>0</v>
          </cell>
          <cell r="DO542">
            <v>0</v>
          </cell>
          <cell r="DQ542">
            <v>0</v>
          </cell>
          <cell r="DW542">
            <v>0</v>
          </cell>
          <cell r="DX542">
            <v>0</v>
          </cell>
          <cell r="DY542">
            <v>0</v>
          </cell>
          <cell r="DZ542">
            <v>0</v>
          </cell>
          <cell r="EA542">
            <v>0</v>
          </cell>
          <cell r="EB542">
            <v>0</v>
          </cell>
          <cell r="EC542">
            <v>0</v>
          </cell>
        </row>
        <row r="543"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R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BA543">
            <v>0</v>
          </cell>
          <cell r="BB543">
            <v>0</v>
          </cell>
          <cell r="BH543">
            <v>0</v>
          </cell>
          <cell r="BI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U543">
            <v>0</v>
          </cell>
          <cell r="BV543">
            <v>0</v>
          </cell>
          <cell r="BW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N543">
            <v>0</v>
          </cell>
          <cell r="CO543">
            <v>0</v>
          </cell>
          <cell r="CP543">
            <v>0</v>
          </cell>
          <cell r="CS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B543">
            <v>0</v>
          </cell>
          <cell r="DC543">
            <v>1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L543">
            <v>0</v>
          </cell>
          <cell r="DM543">
            <v>0</v>
          </cell>
          <cell r="DO543">
            <v>0</v>
          </cell>
          <cell r="DQ543">
            <v>0</v>
          </cell>
          <cell r="DW543">
            <v>0</v>
          </cell>
          <cell r="DX543">
            <v>0</v>
          </cell>
          <cell r="DY543">
            <v>0</v>
          </cell>
          <cell r="DZ543">
            <v>0</v>
          </cell>
          <cell r="EA543">
            <v>0</v>
          </cell>
          <cell r="EB543">
            <v>0</v>
          </cell>
          <cell r="EC543">
            <v>0</v>
          </cell>
        </row>
        <row r="544"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R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BA544">
            <v>0</v>
          </cell>
          <cell r="BB544">
            <v>0</v>
          </cell>
          <cell r="BH544">
            <v>0</v>
          </cell>
          <cell r="BI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U544">
            <v>0</v>
          </cell>
          <cell r="BV544">
            <v>0</v>
          </cell>
          <cell r="BW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N544">
            <v>0</v>
          </cell>
          <cell r="CO544">
            <v>0</v>
          </cell>
          <cell r="CP544">
            <v>0</v>
          </cell>
          <cell r="CS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L544">
            <v>0</v>
          </cell>
          <cell r="DM544">
            <v>0</v>
          </cell>
          <cell r="DO544">
            <v>0</v>
          </cell>
          <cell r="DQ544">
            <v>0</v>
          </cell>
          <cell r="DW544">
            <v>0</v>
          </cell>
          <cell r="DX544">
            <v>0</v>
          </cell>
          <cell r="DY544">
            <v>1</v>
          </cell>
          <cell r="DZ544">
            <v>0</v>
          </cell>
          <cell r="EA544">
            <v>0</v>
          </cell>
          <cell r="EB544">
            <v>0</v>
          </cell>
          <cell r="EC544">
            <v>0</v>
          </cell>
        </row>
        <row r="545"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R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BA545">
            <v>0</v>
          </cell>
          <cell r="BB545">
            <v>0</v>
          </cell>
          <cell r="BH545">
            <v>0</v>
          </cell>
          <cell r="BI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U545">
            <v>0</v>
          </cell>
          <cell r="BV545">
            <v>0</v>
          </cell>
          <cell r="BW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N545">
            <v>0</v>
          </cell>
          <cell r="CO545">
            <v>0</v>
          </cell>
          <cell r="CP545">
            <v>0</v>
          </cell>
          <cell r="CS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L545">
            <v>0</v>
          </cell>
          <cell r="DM545">
            <v>0</v>
          </cell>
          <cell r="DO545">
            <v>0</v>
          </cell>
          <cell r="DQ545">
            <v>0</v>
          </cell>
          <cell r="DW545">
            <v>0</v>
          </cell>
          <cell r="DX545">
            <v>0</v>
          </cell>
          <cell r="DY545">
            <v>0</v>
          </cell>
          <cell r="DZ545">
            <v>0</v>
          </cell>
          <cell r="EA545">
            <v>0</v>
          </cell>
          <cell r="EB545">
            <v>0</v>
          </cell>
          <cell r="EC545">
            <v>1</v>
          </cell>
        </row>
        <row r="546"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R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BA546">
            <v>0</v>
          </cell>
          <cell r="BB546">
            <v>0</v>
          </cell>
          <cell r="BH546">
            <v>0</v>
          </cell>
          <cell r="BI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U546">
            <v>0</v>
          </cell>
          <cell r="BV546">
            <v>0</v>
          </cell>
          <cell r="BW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N546">
            <v>0</v>
          </cell>
          <cell r="CO546">
            <v>0</v>
          </cell>
          <cell r="CP546">
            <v>0</v>
          </cell>
          <cell r="CS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L546">
            <v>0</v>
          </cell>
          <cell r="DM546">
            <v>0</v>
          </cell>
          <cell r="DO546">
            <v>0</v>
          </cell>
          <cell r="DQ546">
            <v>0</v>
          </cell>
          <cell r="DW546">
            <v>0</v>
          </cell>
          <cell r="DX546">
            <v>0</v>
          </cell>
          <cell r="DY546">
            <v>1</v>
          </cell>
          <cell r="DZ546">
            <v>0</v>
          </cell>
          <cell r="EA546">
            <v>0</v>
          </cell>
          <cell r="EB546">
            <v>0</v>
          </cell>
          <cell r="EC546">
            <v>0</v>
          </cell>
        </row>
        <row r="547"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R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BA547">
            <v>0</v>
          </cell>
          <cell r="BB547">
            <v>0</v>
          </cell>
          <cell r="BH547">
            <v>0</v>
          </cell>
          <cell r="BI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U547">
            <v>0</v>
          </cell>
          <cell r="BV547">
            <v>0</v>
          </cell>
          <cell r="BW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N547">
            <v>0</v>
          </cell>
          <cell r="CO547">
            <v>0</v>
          </cell>
          <cell r="CP547">
            <v>0</v>
          </cell>
          <cell r="CS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L547">
            <v>0</v>
          </cell>
          <cell r="DM547">
            <v>0</v>
          </cell>
          <cell r="DO547">
            <v>0</v>
          </cell>
          <cell r="DQ547">
            <v>0</v>
          </cell>
          <cell r="DW547">
            <v>0</v>
          </cell>
          <cell r="DX547">
            <v>0</v>
          </cell>
          <cell r="DY547">
            <v>0</v>
          </cell>
          <cell r="DZ547">
            <v>0</v>
          </cell>
          <cell r="EA547">
            <v>0</v>
          </cell>
          <cell r="EB547">
            <v>0</v>
          </cell>
          <cell r="EC547">
            <v>0</v>
          </cell>
        </row>
        <row r="548"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R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BA548">
            <v>0</v>
          </cell>
          <cell r="BB548">
            <v>0</v>
          </cell>
          <cell r="BH548">
            <v>0</v>
          </cell>
          <cell r="BI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U548">
            <v>0</v>
          </cell>
          <cell r="BV548">
            <v>0</v>
          </cell>
          <cell r="BW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1</v>
          </cell>
          <cell r="CN548">
            <v>1</v>
          </cell>
          <cell r="CO548">
            <v>0</v>
          </cell>
          <cell r="CP548">
            <v>1</v>
          </cell>
          <cell r="CS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1</v>
          </cell>
          <cell r="CZ548">
            <v>1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L548">
            <v>0</v>
          </cell>
          <cell r="DM548">
            <v>0</v>
          </cell>
          <cell r="DO548">
            <v>0</v>
          </cell>
          <cell r="DQ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B548">
            <v>0</v>
          </cell>
          <cell r="EC548">
            <v>0</v>
          </cell>
        </row>
        <row r="549"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R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BA549">
            <v>0</v>
          </cell>
          <cell r="BB549">
            <v>0</v>
          </cell>
          <cell r="BH549">
            <v>0</v>
          </cell>
          <cell r="BI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U549">
            <v>0</v>
          </cell>
          <cell r="BV549">
            <v>0</v>
          </cell>
          <cell r="BW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N549">
            <v>0</v>
          </cell>
          <cell r="CO549">
            <v>0</v>
          </cell>
          <cell r="CP549">
            <v>0</v>
          </cell>
          <cell r="CS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L549">
            <v>0</v>
          </cell>
          <cell r="DM549">
            <v>0</v>
          </cell>
          <cell r="DO549">
            <v>0</v>
          </cell>
          <cell r="DQ549">
            <v>0</v>
          </cell>
          <cell r="DW549">
            <v>1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</row>
        <row r="550"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R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BA550">
            <v>0</v>
          </cell>
          <cell r="BB550">
            <v>0</v>
          </cell>
          <cell r="BH550">
            <v>0</v>
          </cell>
          <cell r="BI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U550">
            <v>0</v>
          </cell>
          <cell r="BV550">
            <v>0</v>
          </cell>
          <cell r="BW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N550">
            <v>0</v>
          </cell>
          <cell r="CO550">
            <v>0</v>
          </cell>
          <cell r="CP550">
            <v>0</v>
          </cell>
          <cell r="CS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L550">
            <v>0</v>
          </cell>
          <cell r="DM550">
            <v>0</v>
          </cell>
          <cell r="DO550">
            <v>0</v>
          </cell>
          <cell r="DQ550">
            <v>0</v>
          </cell>
          <cell r="DW550">
            <v>0</v>
          </cell>
          <cell r="DX550">
            <v>0</v>
          </cell>
          <cell r="DY550">
            <v>1</v>
          </cell>
          <cell r="DZ550">
            <v>0</v>
          </cell>
          <cell r="EA550">
            <v>0</v>
          </cell>
          <cell r="EB550">
            <v>0</v>
          </cell>
          <cell r="EC550">
            <v>0</v>
          </cell>
        </row>
        <row r="551"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R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BA551">
            <v>0</v>
          </cell>
          <cell r="BB551">
            <v>0</v>
          </cell>
          <cell r="BH551">
            <v>0</v>
          </cell>
          <cell r="BI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U551">
            <v>0</v>
          </cell>
          <cell r="BV551">
            <v>0</v>
          </cell>
          <cell r="BW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N551">
            <v>0</v>
          </cell>
          <cell r="CO551">
            <v>0</v>
          </cell>
          <cell r="CP551">
            <v>0</v>
          </cell>
          <cell r="CS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L551">
            <v>0</v>
          </cell>
          <cell r="DM551">
            <v>0</v>
          </cell>
          <cell r="DO551">
            <v>0</v>
          </cell>
          <cell r="DQ551">
            <v>0</v>
          </cell>
          <cell r="DW551">
            <v>1</v>
          </cell>
          <cell r="DX551">
            <v>0</v>
          </cell>
          <cell r="DY551">
            <v>0</v>
          </cell>
          <cell r="DZ551">
            <v>0</v>
          </cell>
          <cell r="EA551">
            <v>0</v>
          </cell>
          <cell r="EB551">
            <v>0</v>
          </cell>
          <cell r="EC551">
            <v>0</v>
          </cell>
        </row>
        <row r="552"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R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BA552">
            <v>0</v>
          </cell>
          <cell r="BB552">
            <v>0</v>
          </cell>
          <cell r="BH552">
            <v>0</v>
          </cell>
          <cell r="BI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U552">
            <v>0</v>
          </cell>
          <cell r="BV552">
            <v>0</v>
          </cell>
          <cell r="BW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N552">
            <v>0</v>
          </cell>
          <cell r="CO552">
            <v>0</v>
          </cell>
          <cell r="CP552">
            <v>0</v>
          </cell>
          <cell r="CS552">
            <v>1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L552">
            <v>0</v>
          </cell>
          <cell r="DM552">
            <v>0</v>
          </cell>
          <cell r="DO552">
            <v>0</v>
          </cell>
          <cell r="DQ552">
            <v>0</v>
          </cell>
          <cell r="DW552">
            <v>0</v>
          </cell>
          <cell r="DX552">
            <v>0</v>
          </cell>
          <cell r="DY552">
            <v>0</v>
          </cell>
          <cell r="DZ552">
            <v>0</v>
          </cell>
          <cell r="EA552">
            <v>0</v>
          </cell>
          <cell r="EB552">
            <v>0</v>
          </cell>
          <cell r="EC552">
            <v>0</v>
          </cell>
        </row>
        <row r="553"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R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BA553">
            <v>0</v>
          </cell>
          <cell r="BB553">
            <v>0</v>
          </cell>
          <cell r="BH553">
            <v>0</v>
          </cell>
          <cell r="BI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U553">
            <v>0</v>
          </cell>
          <cell r="BV553">
            <v>0</v>
          </cell>
          <cell r="BW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N553">
            <v>0</v>
          </cell>
          <cell r="CO553">
            <v>0</v>
          </cell>
          <cell r="CP553">
            <v>0</v>
          </cell>
          <cell r="CS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L553">
            <v>0</v>
          </cell>
          <cell r="DM553">
            <v>0</v>
          </cell>
          <cell r="DO553">
            <v>0</v>
          </cell>
          <cell r="DQ553">
            <v>0</v>
          </cell>
          <cell r="DW553">
            <v>0</v>
          </cell>
          <cell r="DX553">
            <v>0</v>
          </cell>
          <cell r="DY553">
            <v>0</v>
          </cell>
          <cell r="DZ553">
            <v>0</v>
          </cell>
          <cell r="EA553">
            <v>0</v>
          </cell>
          <cell r="EB553">
            <v>0</v>
          </cell>
          <cell r="EC553">
            <v>1</v>
          </cell>
        </row>
        <row r="554"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R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BA554">
            <v>0</v>
          </cell>
          <cell r="BB554">
            <v>0</v>
          </cell>
          <cell r="BH554">
            <v>0</v>
          </cell>
          <cell r="BI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U554">
            <v>0</v>
          </cell>
          <cell r="BV554">
            <v>0</v>
          </cell>
          <cell r="BW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1</v>
          </cell>
          <cell r="CN554">
            <v>1</v>
          </cell>
          <cell r="CO554">
            <v>0</v>
          </cell>
          <cell r="CP554">
            <v>0</v>
          </cell>
          <cell r="CS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L554">
            <v>0</v>
          </cell>
          <cell r="DM554">
            <v>0</v>
          </cell>
          <cell r="DO554">
            <v>0</v>
          </cell>
          <cell r="DQ554">
            <v>0</v>
          </cell>
          <cell r="DW554">
            <v>0</v>
          </cell>
          <cell r="DX554">
            <v>0</v>
          </cell>
          <cell r="DY554">
            <v>0</v>
          </cell>
          <cell r="DZ554">
            <v>0</v>
          </cell>
          <cell r="EA554">
            <v>0</v>
          </cell>
          <cell r="EB554">
            <v>0</v>
          </cell>
          <cell r="EC554">
            <v>0</v>
          </cell>
        </row>
        <row r="555"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R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BA555">
            <v>0</v>
          </cell>
          <cell r="BB555">
            <v>0</v>
          </cell>
          <cell r="BH555">
            <v>0</v>
          </cell>
          <cell r="BI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U555">
            <v>0</v>
          </cell>
          <cell r="BV555">
            <v>0</v>
          </cell>
          <cell r="BW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H555">
            <v>1</v>
          </cell>
          <cell r="CI555">
            <v>0</v>
          </cell>
          <cell r="CJ555">
            <v>0</v>
          </cell>
          <cell r="CK555">
            <v>0</v>
          </cell>
          <cell r="CN555">
            <v>0</v>
          </cell>
          <cell r="CO555">
            <v>0</v>
          </cell>
          <cell r="CP555">
            <v>0</v>
          </cell>
          <cell r="CS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L555">
            <v>0</v>
          </cell>
          <cell r="DM555">
            <v>0</v>
          </cell>
          <cell r="DO555">
            <v>0</v>
          </cell>
          <cell r="DQ555">
            <v>0</v>
          </cell>
          <cell r="DW555">
            <v>0</v>
          </cell>
          <cell r="DX555">
            <v>0</v>
          </cell>
          <cell r="DY555">
            <v>0</v>
          </cell>
          <cell r="DZ555">
            <v>0</v>
          </cell>
          <cell r="EA555">
            <v>0</v>
          </cell>
          <cell r="EB555">
            <v>0</v>
          </cell>
          <cell r="EC555">
            <v>0</v>
          </cell>
        </row>
        <row r="556"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R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BA556">
            <v>0</v>
          </cell>
          <cell r="BB556">
            <v>0</v>
          </cell>
          <cell r="BH556">
            <v>0</v>
          </cell>
          <cell r="BI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U556">
            <v>0</v>
          </cell>
          <cell r="BV556">
            <v>0</v>
          </cell>
          <cell r="BW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N556">
            <v>0</v>
          </cell>
          <cell r="CO556">
            <v>0</v>
          </cell>
          <cell r="CP556">
            <v>0</v>
          </cell>
          <cell r="CS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L556">
            <v>0</v>
          </cell>
          <cell r="DM556">
            <v>0</v>
          </cell>
          <cell r="DO556">
            <v>0</v>
          </cell>
          <cell r="DQ556">
            <v>0</v>
          </cell>
          <cell r="DW556">
            <v>0</v>
          </cell>
          <cell r="DX556">
            <v>0</v>
          </cell>
          <cell r="DY556">
            <v>0</v>
          </cell>
          <cell r="DZ556">
            <v>0</v>
          </cell>
          <cell r="EA556">
            <v>0</v>
          </cell>
          <cell r="EB556">
            <v>0</v>
          </cell>
          <cell r="EC556">
            <v>0</v>
          </cell>
        </row>
        <row r="557"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R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BA557">
            <v>0</v>
          </cell>
          <cell r="BB557">
            <v>0</v>
          </cell>
          <cell r="BH557">
            <v>0</v>
          </cell>
          <cell r="BI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U557">
            <v>0</v>
          </cell>
          <cell r="BV557">
            <v>0</v>
          </cell>
          <cell r="BW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N557">
            <v>0</v>
          </cell>
          <cell r="CO557">
            <v>0</v>
          </cell>
          <cell r="CP557">
            <v>0</v>
          </cell>
          <cell r="CS557">
            <v>0</v>
          </cell>
          <cell r="CU557">
            <v>0</v>
          </cell>
          <cell r="CV557">
            <v>1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L557">
            <v>0</v>
          </cell>
          <cell r="DM557">
            <v>0</v>
          </cell>
          <cell r="DO557">
            <v>0</v>
          </cell>
          <cell r="DQ557">
            <v>0</v>
          </cell>
          <cell r="DW557">
            <v>0</v>
          </cell>
          <cell r="DX557">
            <v>0</v>
          </cell>
          <cell r="DY557">
            <v>0</v>
          </cell>
          <cell r="DZ557">
            <v>0</v>
          </cell>
          <cell r="EA557">
            <v>0</v>
          </cell>
          <cell r="EB557">
            <v>0</v>
          </cell>
          <cell r="EC557">
            <v>0</v>
          </cell>
        </row>
        <row r="558"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R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BA558">
            <v>0</v>
          </cell>
          <cell r="BB558">
            <v>0</v>
          </cell>
          <cell r="BH558">
            <v>0</v>
          </cell>
          <cell r="BI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U558">
            <v>0</v>
          </cell>
          <cell r="BV558">
            <v>0</v>
          </cell>
          <cell r="BW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N558">
            <v>0</v>
          </cell>
          <cell r="CO558">
            <v>0</v>
          </cell>
          <cell r="CP558">
            <v>0</v>
          </cell>
          <cell r="CS558">
            <v>0</v>
          </cell>
          <cell r="CU558">
            <v>0</v>
          </cell>
          <cell r="CV558">
            <v>3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L558">
            <v>0</v>
          </cell>
          <cell r="DM558">
            <v>0</v>
          </cell>
          <cell r="DO558">
            <v>0</v>
          </cell>
          <cell r="DQ558">
            <v>0</v>
          </cell>
          <cell r="DW558">
            <v>0</v>
          </cell>
          <cell r="DX558">
            <v>0</v>
          </cell>
          <cell r="DY558">
            <v>0</v>
          </cell>
          <cell r="DZ558">
            <v>0</v>
          </cell>
          <cell r="EA558">
            <v>0</v>
          </cell>
          <cell r="EB558">
            <v>0</v>
          </cell>
          <cell r="EC558">
            <v>0</v>
          </cell>
        </row>
        <row r="559"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R559">
            <v>0</v>
          </cell>
          <cell r="V559">
            <v>0</v>
          </cell>
          <cell r="W559">
            <v>1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BA559">
            <v>0</v>
          </cell>
          <cell r="BB559">
            <v>0</v>
          </cell>
          <cell r="BH559">
            <v>0</v>
          </cell>
          <cell r="BI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U559">
            <v>0</v>
          </cell>
          <cell r="BV559">
            <v>0</v>
          </cell>
          <cell r="BW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N559">
            <v>0</v>
          </cell>
          <cell r="CO559">
            <v>0</v>
          </cell>
          <cell r="CP559">
            <v>0</v>
          </cell>
          <cell r="CS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L559">
            <v>0</v>
          </cell>
          <cell r="DM559">
            <v>0</v>
          </cell>
          <cell r="DO559">
            <v>0</v>
          </cell>
          <cell r="DQ559">
            <v>0</v>
          </cell>
          <cell r="DW559">
            <v>0</v>
          </cell>
          <cell r="DX559">
            <v>0</v>
          </cell>
          <cell r="DY559">
            <v>0</v>
          </cell>
          <cell r="DZ559">
            <v>0</v>
          </cell>
          <cell r="EA559">
            <v>0</v>
          </cell>
          <cell r="EB559">
            <v>0</v>
          </cell>
          <cell r="EC559">
            <v>0</v>
          </cell>
        </row>
        <row r="560"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R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BA560">
            <v>0</v>
          </cell>
          <cell r="BB560">
            <v>0</v>
          </cell>
          <cell r="BH560">
            <v>0</v>
          </cell>
          <cell r="BI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U560">
            <v>0</v>
          </cell>
          <cell r="BV560">
            <v>0</v>
          </cell>
          <cell r="BW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N560">
            <v>0</v>
          </cell>
          <cell r="CO560">
            <v>0</v>
          </cell>
          <cell r="CP560">
            <v>0</v>
          </cell>
          <cell r="CS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L560">
            <v>0</v>
          </cell>
          <cell r="DM560">
            <v>0</v>
          </cell>
          <cell r="DO560">
            <v>0</v>
          </cell>
          <cell r="DQ560">
            <v>0</v>
          </cell>
          <cell r="DW560">
            <v>0</v>
          </cell>
          <cell r="DX560">
            <v>0</v>
          </cell>
          <cell r="DY560">
            <v>0</v>
          </cell>
          <cell r="DZ560">
            <v>0</v>
          </cell>
          <cell r="EA560">
            <v>0</v>
          </cell>
          <cell r="EB560">
            <v>0</v>
          </cell>
          <cell r="EC560">
            <v>0</v>
          </cell>
        </row>
        <row r="561"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R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BA561">
            <v>0</v>
          </cell>
          <cell r="BB561">
            <v>0</v>
          </cell>
          <cell r="BH561">
            <v>0</v>
          </cell>
          <cell r="BI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U561">
            <v>0</v>
          </cell>
          <cell r="BV561">
            <v>0</v>
          </cell>
          <cell r="BW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N561">
            <v>0</v>
          </cell>
          <cell r="CO561">
            <v>0</v>
          </cell>
          <cell r="CP561">
            <v>0</v>
          </cell>
          <cell r="CS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L561">
            <v>0</v>
          </cell>
          <cell r="DM561">
            <v>0</v>
          </cell>
          <cell r="DO561">
            <v>0</v>
          </cell>
          <cell r="DQ561">
            <v>0</v>
          </cell>
          <cell r="DW561">
            <v>0</v>
          </cell>
          <cell r="DX561">
            <v>0</v>
          </cell>
          <cell r="DY561">
            <v>0</v>
          </cell>
          <cell r="DZ561">
            <v>0</v>
          </cell>
          <cell r="EA561">
            <v>0</v>
          </cell>
          <cell r="EB561">
            <v>0</v>
          </cell>
          <cell r="EC561">
            <v>0</v>
          </cell>
        </row>
        <row r="562"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R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BA562">
            <v>0</v>
          </cell>
          <cell r="BB562">
            <v>0</v>
          </cell>
          <cell r="BH562">
            <v>0</v>
          </cell>
          <cell r="BI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U562">
            <v>0</v>
          </cell>
          <cell r="BV562">
            <v>0</v>
          </cell>
          <cell r="BW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1</v>
          </cell>
          <cell r="CE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N562">
            <v>0</v>
          </cell>
          <cell r="CO562">
            <v>0</v>
          </cell>
          <cell r="CP562">
            <v>0</v>
          </cell>
          <cell r="CS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L562">
            <v>0</v>
          </cell>
          <cell r="DM562">
            <v>0</v>
          </cell>
          <cell r="DO562">
            <v>0</v>
          </cell>
          <cell r="DQ562">
            <v>0</v>
          </cell>
          <cell r="DW562">
            <v>0</v>
          </cell>
          <cell r="DX562">
            <v>0</v>
          </cell>
          <cell r="DY562">
            <v>0</v>
          </cell>
          <cell r="DZ562">
            <v>0</v>
          </cell>
          <cell r="EA562">
            <v>0</v>
          </cell>
          <cell r="EB562">
            <v>0</v>
          </cell>
          <cell r="EC562">
            <v>0</v>
          </cell>
        </row>
        <row r="563"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R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BA563">
            <v>0</v>
          </cell>
          <cell r="BB563">
            <v>0</v>
          </cell>
          <cell r="BH563">
            <v>0</v>
          </cell>
          <cell r="BI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U563">
            <v>0</v>
          </cell>
          <cell r="BV563">
            <v>0</v>
          </cell>
          <cell r="BW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N563">
            <v>0</v>
          </cell>
          <cell r="CO563">
            <v>0</v>
          </cell>
          <cell r="CP563">
            <v>0</v>
          </cell>
          <cell r="CS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L563">
            <v>0</v>
          </cell>
          <cell r="DM563">
            <v>0</v>
          </cell>
          <cell r="DO563">
            <v>0</v>
          </cell>
          <cell r="DQ563">
            <v>0</v>
          </cell>
          <cell r="DW563">
            <v>0</v>
          </cell>
          <cell r="DX563">
            <v>0</v>
          </cell>
          <cell r="DY563">
            <v>0</v>
          </cell>
          <cell r="DZ563">
            <v>0</v>
          </cell>
          <cell r="EA563">
            <v>0</v>
          </cell>
          <cell r="EB563">
            <v>0</v>
          </cell>
          <cell r="EC563">
            <v>0</v>
          </cell>
        </row>
        <row r="564"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R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BA564">
            <v>0</v>
          </cell>
          <cell r="BB564">
            <v>0</v>
          </cell>
          <cell r="BH564">
            <v>0</v>
          </cell>
          <cell r="BI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U564">
            <v>0</v>
          </cell>
          <cell r="BV564">
            <v>0</v>
          </cell>
          <cell r="BW564">
            <v>1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N564">
            <v>0</v>
          </cell>
          <cell r="CO564">
            <v>0</v>
          </cell>
          <cell r="CP564">
            <v>0</v>
          </cell>
          <cell r="CS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L564">
            <v>0</v>
          </cell>
          <cell r="DM564">
            <v>0</v>
          </cell>
          <cell r="DO564">
            <v>0</v>
          </cell>
          <cell r="DQ564">
            <v>0</v>
          </cell>
          <cell r="DW564">
            <v>0</v>
          </cell>
          <cell r="DX564">
            <v>0</v>
          </cell>
          <cell r="DY564">
            <v>0</v>
          </cell>
          <cell r="DZ564">
            <v>0</v>
          </cell>
          <cell r="EA564">
            <v>0</v>
          </cell>
          <cell r="EB564">
            <v>0</v>
          </cell>
          <cell r="EC564">
            <v>0</v>
          </cell>
        </row>
        <row r="565"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R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BA565">
            <v>0</v>
          </cell>
          <cell r="BB565">
            <v>0</v>
          </cell>
          <cell r="BH565">
            <v>0</v>
          </cell>
          <cell r="BI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U565">
            <v>0</v>
          </cell>
          <cell r="BV565">
            <v>0</v>
          </cell>
          <cell r="BW565">
            <v>1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N565">
            <v>0</v>
          </cell>
          <cell r="CO565">
            <v>0</v>
          </cell>
          <cell r="CP565">
            <v>0</v>
          </cell>
          <cell r="CS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L565">
            <v>0</v>
          </cell>
          <cell r="DM565">
            <v>0</v>
          </cell>
          <cell r="DO565">
            <v>0</v>
          </cell>
          <cell r="DQ565">
            <v>0</v>
          </cell>
          <cell r="DW565">
            <v>0</v>
          </cell>
          <cell r="DX565">
            <v>0</v>
          </cell>
          <cell r="DY565">
            <v>0</v>
          </cell>
          <cell r="DZ565">
            <v>0</v>
          </cell>
          <cell r="EA565">
            <v>0</v>
          </cell>
          <cell r="EB565">
            <v>0</v>
          </cell>
          <cell r="EC565">
            <v>0</v>
          </cell>
        </row>
        <row r="566"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R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BA566">
            <v>0</v>
          </cell>
          <cell r="BB566">
            <v>0</v>
          </cell>
          <cell r="BH566">
            <v>0</v>
          </cell>
          <cell r="BI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U566">
            <v>0</v>
          </cell>
          <cell r="BV566">
            <v>0</v>
          </cell>
          <cell r="BW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N566">
            <v>0</v>
          </cell>
          <cell r="CO566">
            <v>0</v>
          </cell>
          <cell r="CP566">
            <v>0</v>
          </cell>
          <cell r="CS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L566">
            <v>0</v>
          </cell>
          <cell r="DM566">
            <v>0</v>
          </cell>
          <cell r="DO566">
            <v>0</v>
          </cell>
          <cell r="DQ566">
            <v>0</v>
          </cell>
          <cell r="DW566">
            <v>0</v>
          </cell>
          <cell r="DX566">
            <v>0</v>
          </cell>
          <cell r="DY566">
            <v>0</v>
          </cell>
          <cell r="DZ566">
            <v>0</v>
          </cell>
          <cell r="EA566">
            <v>0</v>
          </cell>
          <cell r="EB566">
            <v>0</v>
          </cell>
          <cell r="EC566">
            <v>0</v>
          </cell>
        </row>
        <row r="567"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R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BA567">
            <v>0</v>
          </cell>
          <cell r="BB567">
            <v>0</v>
          </cell>
          <cell r="BH567">
            <v>0</v>
          </cell>
          <cell r="BI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U567">
            <v>0</v>
          </cell>
          <cell r="BV567">
            <v>0</v>
          </cell>
          <cell r="BW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N567">
            <v>0</v>
          </cell>
          <cell r="CO567">
            <v>0</v>
          </cell>
          <cell r="CP567">
            <v>0</v>
          </cell>
          <cell r="CS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L567">
            <v>0</v>
          </cell>
          <cell r="DM567">
            <v>0</v>
          </cell>
          <cell r="DO567">
            <v>0</v>
          </cell>
          <cell r="DQ567">
            <v>0</v>
          </cell>
          <cell r="DW567">
            <v>0</v>
          </cell>
          <cell r="DX567">
            <v>0</v>
          </cell>
          <cell r="DY567">
            <v>0</v>
          </cell>
          <cell r="DZ567">
            <v>0</v>
          </cell>
          <cell r="EA567">
            <v>2</v>
          </cell>
          <cell r="EB567">
            <v>0</v>
          </cell>
          <cell r="EC567">
            <v>0</v>
          </cell>
        </row>
        <row r="568"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R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BA568">
            <v>0</v>
          </cell>
          <cell r="BB568">
            <v>0</v>
          </cell>
          <cell r="BH568">
            <v>0</v>
          </cell>
          <cell r="BI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U568">
            <v>0</v>
          </cell>
          <cell r="BV568">
            <v>0</v>
          </cell>
          <cell r="BW568">
            <v>1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N568">
            <v>0</v>
          </cell>
          <cell r="CO568">
            <v>0</v>
          </cell>
          <cell r="CP568">
            <v>0</v>
          </cell>
          <cell r="CS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L568">
            <v>0</v>
          </cell>
          <cell r="DM568">
            <v>0</v>
          </cell>
          <cell r="DO568">
            <v>0</v>
          </cell>
          <cell r="DQ568">
            <v>0</v>
          </cell>
          <cell r="DW568">
            <v>0</v>
          </cell>
          <cell r="DX568">
            <v>0</v>
          </cell>
          <cell r="DY568">
            <v>0</v>
          </cell>
          <cell r="DZ568">
            <v>0</v>
          </cell>
          <cell r="EA568">
            <v>0</v>
          </cell>
          <cell r="EB568">
            <v>0</v>
          </cell>
          <cell r="EC568">
            <v>0</v>
          </cell>
        </row>
        <row r="569"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R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BA569">
            <v>0</v>
          </cell>
          <cell r="BB569">
            <v>0</v>
          </cell>
          <cell r="BH569">
            <v>0</v>
          </cell>
          <cell r="BI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U569">
            <v>0</v>
          </cell>
          <cell r="BV569">
            <v>0</v>
          </cell>
          <cell r="BW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N569">
            <v>0</v>
          </cell>
          <cell r="CO569">
            <v>0</v>
          </cell>
          <cell r="CP569">
            <v>0</v>
          </cell>
          <cell r="CS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L569">
            <v>0</v>
          </cell>
          <cell r="DM569">
            <v>0</v>
          </cell>
          <cell r="DO569">
            <v>0</v>
          </cell>
          <cell r="DQ569">
            <v>0</v>
          </cell>
          <cell r="DW569">
            <v>0</v>
          </cell>
          <cell r="DX569">
            <v>0</v>
          </cell>
          <cell r="DY569">
            <v>0</v>
          </cell>
          <cell r="DZ569">
            <v>0</v>
          </cell>
          <cell r="EA569">
            <v>0</v>
          </cell>
          <cell r="EB569">
            <v>0</v>
          </cell>
          <cell r="EC569">
            <v>0</v>
          </cell>
        </row>
        <row r="570"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R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BA570">
            <v>0</v>
          </cell>
          <cell r="BB570">
            <v>0</v>
          </cell>
          <cell r="BH570">
            <v>0</v>
          </cell>
          <cell r="BI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U570">
            <v>0</v>
          </cell>
          <cell r="BV570">
            <v>0</v>
          </cell>
          <cell r="BW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N570">
            <v>0</v>
          </cell>
          <cell r="CO570">
            <v>0</v>
          </cell>
          <cell r="CP570">
            <v>0</v>
          </cell>
          <cell r="CS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L570">
            <v>0</v>
          </cell>
          <cell r="DM570">
            <v>0</v>
          </cell>
          <cell r="DO570">
            <v>0</v>
          </cell>
          <cell r="DQ570">
            <v>0</v>
          </cell>
          <cell r="DW570">
            <v>0</v>
          </cell>
          <cell r="DX570">
            <v>0</v>
          </cell>
          <cell r="DY570">
            <v>0</v>
          </cell>
          <cell r="DZ570">
            <v>0</v>
          </cell>
          <cell r="EA570">
            <v>0</v>
          </cell>
          <cell r="EB570">
            <v>0</v>
          </cell>
          <cell r="EC570">
            <v>0</v>
          </cell>
        </row>
        <row r="571"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R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BA571">
            <v>0</v>
          </cell>
          <cell r="BB571">
            <v>0</v>
          </cell>
          <cell r="BH571">
            <v>0</v>
          </cell>
          <cell r="BI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U571">
            <v>0</v>
          </cell>
          <cell r="BV571">
            <v>0</v>
          </cell>
          <cell r="BW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N571">
            <v>0</v>
          </cell>
          <cell r="CO571">
            <v>0</v>
          </cell>
          <cell r="CP571">
            <v>0</v>
          </cell>
          <cell r="CS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L571">
            <v>0</v>
          </cell>
          <cell r="DM571">
            <v>0</v>
          </cell>
          <cell r="DO571">
            <v>0</v>
          </cell>
          <cell r="DQ571">
            <v>0</v>
          </cell>
          <cell r="DW571">
            <v>0</v>
          </cell>
          <cell r="DX571">
            <v>0</v>
          </cell>
          <cell r="DY571">
            <v>0</v>
          </cell>
          <cell r="DZ571">
            <v>0</v>
          </cell>
          <cell r="EA571">
            <v>0</v>
          </cell>
          <cell r="EB571">
            <v>0</v>
          </cell>
          <cell r="EC571">
            <v>0</v>
          </cell>
        </row>
        <row r="572"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1</v>
          </cell>
          <cell r="R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U572">
            <v>0</v>
          </cell>
          <cell r="AV572">
            <v>0</v>
          </cell>
          <cell r="AW572">
            <v>1</v>
          </cell>
          <cell r="AX572">
            <v>0</v>
          </cell>
          <cell r="AY572">
            <v>0</v>
          </cell>
          <cell r="BA572">
            <v>0</v>
          </cell>
          <cell r="BB572">
            <v>0</v>
          </cell>
          <cell r="BH572">
            <v>0</v>
          </cell>
          <cell r="BI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U572">
            <v>0</v>
          </cell>
          <cell r="BV572">
            <v>0</v>
          </cell>
          <cell r="BW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N572">
            <v>0</v>
          </cell>
          <cell r="CO572">
            <v>0</v>
          </cell>
          <cell r="CP572">
            <v>0</v>
          </cell>
          <cell r="CS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L572">
            <v>0</v>
          </cell>
          <cell r="DM572">
            <v>0</v>
          </cell>
          <cell r="DO572">
            <v>0</v>
          </cell>
          <cell r="DQ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</row>
        <row r="573"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R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BA573">
            <v>0</v>
          </cell>
          <cell r="BB573">
            <v>0</v>
          </cell>
          <cell r="BH573">
            <v>0</v>
          </cell>
          <cell r="BI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U573">
            <v>0</v>
          </cell>
          <cell r="BV573">
            <v>0</v>
          </cell>
          <cell r="BW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N573">
            <v>0</v>
          </cell>
          <cell r="CO573">
            <v>0</v>
          </cell>
          <cell r="CP573">
            <v>0</v>
          </cell>
          <cell r="CS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L573">
            <v>0</v>
          </cell>
          <cell r="DM573">
            <v>0</v>
          </cell>
          <cell r="DO573">
            <v>0</v>
          </cell>
          <cell r="DQ573">
            <v>0</v>
          </cell>
          <cell r="DW573">
            <v>0</v>
          </cell>
          <cell r="DX573">
            <v>0</v>
          </cell>
          <cell r="DY573">
            <v>0</v>
          </cell>
          <cell r="DZ573">
            <v>0</v>
          </cell>
          <cell r="EA573">
            <v>0</v>
          </cell>
          <cell r="EB573">
            <v>0</v>
          </cell>
          <cell r="EC573">
            <v>0</v>
          </cell>
        </row>
        <row r="574"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R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BA574">
            <v>0</v>
          </cell>
          <cell r="BB574">
            <v>0</v>
          </cell>
          <cell r="BH574">
            <v>0</v>
          </cell>
          <cell r="BI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U574">
            <v>0</v>
          </cell>
          <cell r="BV574">
            <v>0</v>
          </cell>
          <cell r="BW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N574">
            <v>0</v>
          </cell>
          <cell r="CO574">
            <v>0</v>
          </cell>
          <cell r="CP574">
            <v>0</v>
          </cell>
          <cell r="CS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L574">
            <v>0</v>
          </cell>
          <cell r="DM574">
            <v>0</v>
          </cell>
          <cell r="DO574">
            <v>0</v>
          </cell>
          <cell r="DQ574">
            <v>0</v>
          </cell>
          <cell r="DW574">
            <v>0</v>
          </cell>
          <cell r="DX574">
            <v>0</v>
          </cell>
          <cell r="DY574">
            <v>0</v>
          </cell>
          <cell r="DZ574">
            <v>0</v>
          </cell>
          <cell r="EA574">
            <v>0</v>
          </cell>
          <cell r="EB574">
            <v>0</v>
          </cell>
          <cell r="EC574">
            <v>0</v>
          </cell>
        </row>
        <row r="575"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R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BA575">
            <v>0</v>
          </cell>
          <cell r="BB575">
            <v>0</v>
          </cell>
          <cell r="BH575">
            <v>0</v>
          </cell>
          <cell r="BI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U575">
            <v>0</v>
          </cell>
          <cell r="BV575">
            <v>0</v>
          </cell>
          <cell r="BW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N575">
            <v>0</v>
          </cell>
          <cell r="CO575">
            <v>0</v>
          </cell>
          <cell r="CP575">
            <v>0</v>
          </cell>
          <cell r="CS575">
            <v>6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L575">
            <v>0</v>
          </cell>
          <cell r="DM575">
            <v>0</v>
          </cell>
          <cell r="DO575">
            <v>0</v>
          </cell>
          <cell r="DQ575">
            <v>0</v>
          </cell>
          <cell r="DW575">
            <v>0</v>
          </cell>
          <cell r="DX575">
            <v>2</v>
          </cell>
          <cell r="DY575">
            <v>0</v>
          </cell>
          <cell r="DZ575">
            <v>0</v>
          </cell>
          <cell r="EA575">
            <v>0</v>
          </cell>
          <cell r="EB575">
            <v>1</v>
          </cell>
          <cell r="EC575">
            <v>0</v>
          </cell>
        </row>
        <row r="576"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R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BA576">
            <v>0</v>
          </cell>
          <cell r="BB576">
            <v>0</v>
          </cell>
          <cell r="BH576">
            <v>0</v>
          </cell>
          <cell r="BI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U576">
            <v>0</v>
          </cell>
          <cell r="BV576">
            <v>0</v>
          </cell>
          <cell r="BW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N576">
            <v>0</v>
          </cell>
          <cell r="CO576">
            <v>0</v>
          </cell>
          <cell r="CP576">
            <v>0</v>
          </cell>
          <cell r="CS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L576">
            <v>0</v>
          </cell>
          <cell r="DM576">
            <v>0</v>
          </cell>
          <cell r="DO576">
            <v>0</v>
          </cell>
          <cell r="DQ576">
            <v>0</v>
          </cell>
          <cell r="DW576">
            <v>3</v>
          </cell>
          <cell r="DX576">
            <v>0</v>
          </cell>
          <cell r="DY576">
            <v>0</v>
          </cell>
          <cell r="DZ576">
            <v>0</v>
          </cell>
          <cell r="EA576">
            <v>0</v>
          </cell>
          <cell r="EB576">
            <v>0</v>
          </cell>
          <cell r="EC576">
            <v>0</v>
          </cell>
        </row>
        <row r="577"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3</v>
          </cell>
          <cell r="R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1</v>
          </cell>
          <cell r="AY577">
            <v>0</v>
          </cell>
          <cell r="BA577">
            <v>0</v>
          </cell>
          <cell r="BB577">
            <v>0</v>
          </cell>
          <cell r="BH577">
            <v>0</v>
          </cell>
          <cell r="BI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U577">
            <v>0</v>
          </cell>
          <cell r="BV577">
            <v>0</v>
          </cell>
          <cell r="BW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2</v>
          </cell>
          <cell r="CD577">
            <v>0</v>
          </cell>
          <cell r="CE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N577">
            <v>0</v>
          </cell>
          <cell r="CO577">
            <v>0</v>
          </cell>
          <cell r="CP577">
            <v>0</v>
          </cell>
          <cell r="CS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L577">
            <v>0</v>
          </cell>
          <cell r="DM577">
            <v>0</v>
          </cell>
          <cell r="DO577">
            <v>0</v>
          </cell>
          <cell r="DQ577">
            <v>0</v>
          </cell>
          <cell r="DW577">
            <v>0</v>
          </cell>
          <cell r="DX577">
            <v>0</v>
          </cell>
          <cell r="DY577">
            <v>0</v>
          </cell>
          <cell r="DZ577">
            <v>0</v>
          </cell>
          <cell r="EA577">
            <v>0</v>
          </cell>
          <cell r="EB577">
            <v>0</v>
          </cell>
          <cell r="EC577">
            <v>0</v>
          </cell>
        </row>
        <row r="578">
          <cell r="D578">
            <v>8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R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BA578">
            <v>0</v>
          </cell>
          <cell r="BB578">
            <v>0</v>
          </cell>
          <cell r="BH578">
            <v>0</v>
          </cell>
          <cell r="BI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U578">
            <v>0</v>
          </cell>
          <cell r="BV578">
            <v>0</v>
          </cell>
          <cell r="BW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N578">
            <v>0</v>
          </cell>
          <cell r="CO578">
            <v>0</v>
          </cell>
          <cell r="CP578">
            <v>0</v>
          </cell>
          <cell r="CS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L578">
            <v>0</v>
          </cell>
          <cell r="DM578">
            <v>0</v>
          </cell>
          <cell r="DO578">
            <v>0</v>
          </cell>
          <cell r="DQ578">
            <v>0</v>
          </cell>
          <cell r="DW578">
            <v>0</v>
          </cell>
          <cell r="DX578">
            <v>0</v>
          </cell>
          <cell r="DY578">
            <v>0</v>
          </cell>
          <cell r="DZ578">
            <v>0</v>
          </cell>
          <cell r="EA578">
            <v>0</v>
          </cell>
          <cell r="EB578">
            <v>0</v>
          </cell>
          <cell r="EC578">
            <v>0</v>
          </cell>
        </row>
        <row r="579"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R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BA579">
            <v>0</v>
          </cell>
          <cell r="BB579">
            <v>0</v>
          </cell>
          <cell r="BH579">
            <v>0</v>
          </cell>
          <cell r="BI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U579">
            <v>0</v>
          </cell>
          <cell r="BV579">
            <v>0</v>
          </cell>
          <cell r="BW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N579">
            <v>0</v>
          </cell>
          <cell r="CO579">
            <v>0</v>
          </cell>
          <cell r="CP579">
            <v>0</v>
          </cell>
          <cell r="CS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L579">
            <v>0</v>
          </cell>
          <cell r="DM579">
            <v>0</v>
          </cell>
          <cell r="DO579">
            <v>0</v>
          </cell>
          <cell r="DQ579">
            <v>0</v>
          </cell>
          <cell r="DW579">
            <v>1</v>
          </cell>
          <cell r="DX579">
            <v>0</v>
          </cell>
          <cell r="DY579">
            <v>0</v>
          </cell>
          <cell r="DZ579">
            <v>0</v>
          </cell>
          <cell r="EA579">
            <v>0</v>
          </cell>
          <cell r="EB579">
            <v>0</v>
          </cell>
          <cell r="EC579">
            <v>0</v>
          </cell>
        </row>
        <row r="580"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R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BA580">
            <v>0</v>
          </cell>
          <cell r="BB580">
            <v>0</v>
          </cell>
          <cell r="BH580">
            <v>0</v>
          </cell>
          <cell r="BI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U580">
            <v>0</v>
          </cell>
          <cell r="BV580">
            <v>0</v>
          </cell>
          <cell r="BW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N580">
            <v>0</v>
          </cell>
          <cell r="CO580">
            <v>0</v>
          </cell>
          <cell r="CP580">
            <v>0</v>
          </cell>
          <cell r="CS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L580">
            <v>0</v>
          </cell>
          <cell r="DM580">
            <v>0</v>
          </cell>
          <cell r="DO580">
            <v>0</v>
          </cell>
          <cell r="DQ580">
            <v>0</v>
          </cell>
          <cell r="DW580">
            <v>1</v>
          </cell>
          <cell r="DX580">
            <v>0</v>
          </cell>
          <cell r="DY580">
            <v>0</v>
          </cell>
          <cell r="DZ580">
            <v>0</v>
          </cell>
          <cell r="EA580">
            <v>0</v>
          </cell>
          <cell r="EB580">
            <v>0</v>
          </cell>
          <cell r="EC580">
            <v>0</v>
          </cell>
        </row>
        <row r="581"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R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BA581">
            <v>0</v>
          </cell>
          <cell r="BB581">
            <v>0</v>
          </cell>
          <cell r="BH581">
            <v>0</v>
          </cell>
          <cell r="BI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U581">
            <v>0</v>
          </cell>
          <cell r="BV581">
            <v>0</v>
          </cell>
          <cell r="BW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N581">
            <v>0</v>
          </cell>
          <cell r="CO581">
            <v>0</v>
          </cell>
          <cell r="CP581">
            <v>0</v>
          </cell>
          <cell r="CS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L581">
            <v>0</v>
          </cell>
          <cell r="DM581">
            <v>0</v>
          </cell>
          <cell r="DO581">
            <v>0</v>
          </cell>
          <cell r="DQ581">
            <v>0</v>
          </cell>
          <cell r="DW581">
            <v>0</v>
          </cell>
          <cell r="DX581">
            <v>0</v>
          </cell>
          <cell r="DY581">
            <v>0</v>
          </cell>
          <cell r="DZ581">
            <v>0</v>
          </cell>
          <cell r="EA581">
            <v>0</v>
          </cell>
          <cell r="EB581">
            <v>0</v>
          </cell>
          <cell r="EC581">
            <v>0</v>
          </cell>
        </row>
        <row r="582"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R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BA582">
            <v>0</v>
          </cell>
          <cell r="BB582">
            <v>0</v>
          </cell>
          <cell r="BH582">
            <v>0</v>
          </cell>
          <cell r="BI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U582">
            <v>0</v>
          </cell>
          <cell r="BV582">
            <v>0</v>
          </cell>
          <cell r="BW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N582">
            <v>0</v>
          </cell>
          <cell r="CO582">
            <v>0</v>
          </cell>
          <cell r="CP582">
            <v>0</v>
          </cell>
          <cell r="CS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L582">
            <v>0</v>
          </cell>
          <cell r="DM582">
            <v>0</v>
          </cell>
          <cell r="DO582">
            <v>0</v>
          </cell>
          <cell r="DQ582">
            <v>0</v>
          </cell>
          <cell r="DW582">
            <v>0</v>
          </cell>
          <cell r="DX582">
            <v>0</v>
          </cell>
          <cell r="DY582">
            <v>0</v>
          </cell>
          <cell r="DZ582">
            <v>0</v>
          </cell>
          <cell r="EA582">
            <v>0</v>
          </cell>
          <cell r="EB582">
            <v>0</v>
          </cell>
          <cell r="EC582">
            <v>0</v>
          </cell>
        </row>
        <row r="583"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R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BA583">
            <v>0</v>
          </cell>
          <cell r="BB583">
            <v>0</v>
          </cell>
          <cell r="BH583">
            <v>0</v>
          </cell>
          <cell r="BI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U583">
            <v>0</v>
          </cell>
          <cell r="BV583">
            <v>0</v>
          </cell>
          <cell r="BW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N583">
            <v>0</v>
          </cell>
          <cell r="CO583">
            <v>0</v>
          </cell>
          <cell r="CP583">
            <v>0</v>
          </cell>
          <cell r="CS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L583">
            <v>0</v>
          </cell>
          <cell r="DM583">
            <v>0</v>
          </cell>
          <cell r="DO583">
            <v>0</v>
          </cell>
          <cell r="DQ583">
            <v>0</v>
          </cell>
          <cell r="DW583">
            <v>0</v>
          </cell>
          <cell r="DX583">
            <v>0</v>
          </cell>
          <cell r="DY583">
            <v>0</v>
          </cell>
          <cell r="DZ583">
            <v>0</v>
          </cell>
          <cell r="EA583">
            <v>0</v>
          </cell>
          <cell r="EB583">
            <v>0</v>
          </cell>
          <cell r="EC583">
            <v>0</v>
          </cell>
        </row>
        <row r="584"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R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BA584">
            <v>0</v>
          </cell>
          <cell r="BB584">
            <v>0</v>
          </cell>
          <cell r="BH584">
            <v>0</v>
          </cell>
          <cell r="BI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U584">
            <v>0</v>
          </cell>
          <cell r="BV584">
            <v>0</v>
          </cell>
          <cell r="BW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N584">
            <v>0</v>
          </cell>
          <cell r="CO584">
            <v>0</v>
          </cell>
          <cell r="CP584">
            <v>0</v>
          </cell>
          <cell r="CS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1</v>
          </cell>
          <cell r="CY584">
            <v>0</v>
          </cell>
          <cell r="CZ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L584">
            <v>0</v>
          </cell>
          <cell r="DM584">
            <v>0</v>
          </cell>
          <cell r="DO584">
            <v>0</v>
          </cell>
          <cell r="DQ584">
            <v>0</v>
          </cell>
          <cell r="DW584">
            <v>0</v>
          </cell>
          <cell r="DX584">
            <v>0</v>
          </cell>
          <cell r="DY584">
            <v>0</v>
          </cell>
          <cell r="DZ584">
            <v>0</v>
          </cell>
          <cell r="EA584">
            <v>0</v>
          </cell>
          <cell r="EB584">
            <v>0</v>
          </cell>
          <cell r="EC584">
            <v>0</v>
          </cell>
        </row>
        <row r="585"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R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BA585">
            <v>0</v>
          </cell>
          <cell r="BB585">
            <v>0</v>
          </cell>
          <cell r="BH585">
            <v>0</v>
          </cell>
          <cell r="BI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U585">
            <v>0</v>
          </cell>
          <cell r="BV585">
            <v>0</v>
          </cell>
          <cell r="BW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N585">
            <v>0</v>
          </cell>
          <cell r="CO585">
            <v>0</v>
          </cell>
          <cell r="CP585">
            <v>0</v>
          </cell>
          <cell r="CS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L585">
            <v>0</v>
          </cell>
          <cell r="DM585">
            <v>0</v>
          </cell>
          <cell r="DO585">
            <v>0</v>
          </cell>
          <cell r="DQ585">
            <v>0</v>
          </cell>
          <cell r="DW585">
            <v>0</v>
          </cell>
          <cell r="DX585">
            <v>0</v>
          </cell>
          <cell r="DY585">
            <v>0</v>
          </cell>
          <cell r="DZ585">
            <v>0</v>
          </cell>
          <cell r="EA585">
            <v>0</v>
          </cell>
          <cell r="EB585">
            <v>0</v>
          </cell>
          <cell r="EC585">
            <v>0</v>
          </cell>
        </row>
        <row r="586"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R586">
            <v>0</v>
          </cell>
          <cell r="V586">
            <v>0</v>
          </cell>
          <cell r="W586">
            <v>1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BA586">
            <v>0</v>
          </cell>
          <cell r="BB586">
            <v>0</v>
          </cell>
          <cell r="BH586">
            <v>0</v>
          </cell>
          <cell r="BI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U586">
            <v>0</v>
          </cell>
          <cell r="BV586">
            <v>0</v>
          </cell>
          <cell r="BW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N586">
            <v>0</v>
          </cell>
          <cell r="CO586">
            <v>0</v>
          </cell>
          <cell r="CP586">
            <v>0</v>
          </cell>
          <cell r="CS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L586">
            <v>0</v>
          </cell>
          <cell r="DM586">
            <v>0</v>
          </cell>
          <cell r="DO586">
            <v>0</v>
          </cell>
          <cell r="DQ586">
            <v>0</v>
          </cell>
          <cell r="DW586">
            <v>0</v>
          </cell>
          <cell r="DX586">
            <v>0</v>
          </cell>
          <cell r="DY586">
            <v>0</v>
          </cell>
          <cell r="DZ586">
            <v>0</v>
          </cell>
          <cell r="EA586">
            <v>0</v>
          </cell>
          <cell r="EB586">
            <v>0</v>
          </cell>
          <cell r="EC586">
            <v>0</v>
          </cell>
        </row>
        <row r="587"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R587">
            <v>0</v>
          </cell>
          <cell r="V587">
            <v>1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BA587">
            <v>0</v>
          </cell>
          <cell r="BB587">
            <v>0</v>
          </cell>
          <cell r="BH587">
            <v>0</v>
          </cell>
          <cell r="BI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U587">
            <v>0</v>
          </cell>
          <cell r="BV587">
            <v>0</v>
          </cell>
          <cell r="BW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N587">
            <v>0</v>
          </cell>
          <cell r="CO587">
            <v>0</v>
          </cell>
          <cell r="CP587">
            <v>0</v>
          </cell>
          <cell r="CS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L587">
            <v>0</v>
          </cell>
          <cell r="DM587">
            <v>0</v>
          </cell>
          <cell r="DO587">
            <v>0</v>
          </cell>
          <cell r="DQ587">
            <v>0</v>
          </cell>
          <cell r="DW587">
            <v>0</v>
          </cell>
          <cell r="DX587">
            <v>0</v>
          </cell>
          <cell r="DY587">
            <v>0</v>
          </cell>
          <cell r="DZ587">
            <v>0</v>
          </cell>
          <cell r="EA587">
            <v>0</v>
          </cell>
          <cell r="EB587">
            <v>0</v>
          </cell>
          <cell r="EC587">
            <v>0</v>
          </cell>
        </row>
        <row r="588"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R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BA588">
            <v>0</v>
          </cell>
          <cell r="BB588">
            <v>1</v>
          </cell>
          <cell r="BH588">
            <v>0</v>
          </cell>
          <cell r="BI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U588">
            <v>0</v>
          </cell>
          <cell r="BV588">
            <v>0</v>
          </cell>
          <cell r="BW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N588">
            <v>0</v>
          </cell>
          <cell r="CO588">
            <v>0</v>
          </cell>
          <cell r="CP588">
            <v>0</v>
          </cell>
          <cell r="CS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L588">
            <v>0</v>
          </cell>
          <cell r="DM588">
            <v>0</v>
          </cell>
          <cell r="DO588">
            <v>0</v>
          </cell>
          <cell r="DQ588">
            <v>0</v>
          </cell>
          <cell r="DW588">
            <v>0</v>
          </cell>
          <cell r="DX588">
            <v>0</v>
          </cell>
          <cell r="DY588">
            <v>0</v>
          </cell>
          <cell r="DZ588">
            <v>0</v>
          </cell>
          <cell r="EA588">
            <v>0</v>
          </cell>
          <cell r="EB588">
            <v>0</v>
          </cell>
          <cell r="EC588">
            <v>0</v>
          </cell>
        </row>
        <row r="589"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R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BA589">
            <v>0</v>
          </cell>
          <cell r="BB589">
            <v>0</v>
          </cell>
          <cell r="BH589">
            <v>0</v>
          </cell>
          <cell r="BI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U589">
            <v>0</v>
          </cell>
          <cell r="BV589">
            <v>0</v>
          </cell>
          <cell r="BW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N589">
            <v>0</v>
          </cell>
          <cell r="CO589">
            <v>0</v>
          </cell>
          <cell r="CP589">
            <v>0</v>
          </cell>
          <cell r="CS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L589">
            <v>0</v>
          </cell>
          <cell r="DM589">
            <v>0</v>
          </cell>
          <cell r="DO589">
            <v>0</v>
          </cell>
          <cell r="DQ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</row>
        <row r="590"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R590">
            <v>0</v>
          </cell>
          <cell r="V590">
            <v>0</v>
          </cell>
          <cell r="W590">
            <v>1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BA590">
            <v>0</v>
          </cell>
          <cell r="BB590">
            <v>0</v>
          </cell>
          <cell r="BH590">
            <v>0</v>
          </cell>
          <cell r="BI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U590">
            <v>0</v>
          </cell>
          <cell r="BV590">
            <v>0</v>
          </cell>
          <cell r="BW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N590">
            <v>0</v>
          </cell>
          <cell r="CO590">
            <v>0</v>
          </cell>
          <cell r="CP590">
            <v>0</v>
          </cell>
          <cell r="CS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1</v>
          </cell>
          <cell r="DL590">
            <v>0</v>
          </cell>
          <cell r="DM590">
            <v>0</v>
          </cell>
          <cell r="DO590">
            <v>0</v>
          </cell>
          <cell r="DQ590">
            <v>0</v>
          </cell>
          <cell r="DW590">
            <v>0</v>
          </cell>
          <cell r="DX590">
            <v>0</v>
          </cell>
          <cell r="DY590">
            <v>0</v>
          </cell>
          <cell r="DZ590">
            <v>0</v>
          </cell>
          <cell r="EA590">
            <v>0</v>
          </cell>
          <cell r="EB590">
            <v>0</v>
          </cell>
          <cell r="EC590">
            <v>0</v>
          </cell>
        </row>
        <row r="591"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R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BA591">
            <v>1</v>
          </cell>
          <cell r="BB591">
            <v>1</v>
          </cell>
          <cell r="BH591">
            <v>0</v>
          </cell>
          <cell r="BI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U591">
            <v>0</v>
          </cell>
          <cell r="BV591">
            <v>0</v>
          </cell>
          <cell r="BW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N591">
            <v>0</v>
          </cell>
          <cell r="CO591">
            <v>0</v>
          </cell>
          <cell r="CP591">
            <v>0</v>
          </cell>
          <cell r="CS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L591">
            <v>0</v>
          </cell>
          <cell r="DM591">
            <v>0</v>
          </cell>
          <cell r="DO591">
            <v>0</v>
          </cell>
          <cell r="DQ591">
            <v>0</v>
          </cell>
          <cell r="DW591">
            <v>0</v>
          </cell>
          <cell r="DX591">
            <v>0</v>
          </cell>
          <cell r="DY591">
            <v>0</v>
          </cell>
          <cell r="DZ591">
            <v>0</v>
          </cell>
          <cell r="EA591">
            <v>0</v>
          </cell>
          <cell r="EB591">
            <v>0</v>
          </cell>
          <cell r="EC591">
            <v>0</v>
          </cell>
        </row>
        <row r="592"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R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BA592">
            <v>0</v>
          </cell>
          <cell r="BB592">
            <v>0</v>
          </cell>
          <cell r="BH592">
            <v>0</v>
          </cell>
          <cell r="BI592">
            <v>0</v>
          </cell>
          <cell r="BL592">
            <v>1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U592">
            <v>0</v>
          </cell>
          <cell r="BV592">
            <v>0</v>
          </cell>
          <cell r="BW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N592">
            <v>0</v>
          </cell>
          <cell r="CO592">
            <v>0</v>
          </cell>
          <cell r="CP592">
            <v>0</v>
          </cell>
          <cell r="CS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L592">
            <v>0</v>
          </cell>
          <cell r="DM592">
            <v>0</v>
          </cell>
          <cell r="DO592">
            <v>0</v>
          </cell>
          <cell r="DQ592">
            <v>0</v>
          </cell>
          <cell r="DW592">
            <v>0</v>
          </cell>
          <cell r="DX592">
            <v>0</v>
          </cell>
          <cell r="DY592">
            <v>0</v>
          </cell>
          <cell r="DZ592">
            <v>0</v>
          </cell>
          <cell r="EA592">
            <v>0</v>
          </cell>
          <cell r="EB592">
            <v>0</v>
          </cell>
          <cell r="EC592">
            <v>0</v>
          </cell>
        </row>
        <row r="593"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R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BA593">
            <v>1</v>
          </cell>
          <cell r="BB593">
            <v>1</v>
          </cell>
          <cell r="BH593">
            <v>0</v>
          </cell>
          <cell r="BI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U593">
            <v>0</v>
          </cell>
          <cell r="BV593">
            <v>0</v>
          </cell>
          <cell r="BW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N593">
            <v>0</v>
          </cell>
          <cell r="CO593">
            <v>0</v>
          </cell>
          <cell r="CP593">
            <v>0</v>
          </cell>
          <cell r="CS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L593">
            <v>0</v>
          </cell>
          <cell r="DM593">
            <v>0</v>
          </cell>
          <cell r="DO593">
            <v>0</v>
          </cell>
          <cell r="DQ593">
            <v>0</v>
          </cell>
          <cell r="DW593">
            <v>0</v>
          </cell>
          <cell r="DX593">
            <v>0</v>
          </cell>
          <cell r="DY593">
            <v>0</v>
          </cell>
          <cell r="DZ593">
            <v>0</v>
          </cell>
          <cell r="EA593">
            <v>0</v>
          </cell>
          <cell r="EB593">
            <v>0</v>
          </cell>
          <cell r="EC593">
            <v>0</v>
          </cell>
        </row>
        <row r="594"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R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BA594">
            <v>0</v>
          </cell>
          <cell r="BB594">
            <v>0</v>
          </cell>
          <cell r="BH594">
            <v>0</v>
          </cell>
          <cell r="BI594">
            <v>0</v>
          </cell>
          <cell r="BL594">
            <v>1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U594">
            <v>0</v>
          </cell>
          <cell r="BV594">
            <v>0</v>
          </cell>
          <cell r="BW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N594">
            <v>0</v>
          </cell>
          <cell r="CO594">
            <v>0</v>
          </cell>
          <cell r="CP594">
            <v>0</v>
          </cell>
          <cell r="CS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L594">
            <v>0</v>
          </cell>
          <cell r="DM594">
            <v>0</v>
          </cell>
          <cell r="DO594">
            <v>0</v>
          </cell>
          <cell r="DQ594">
            <v>0</v>
          </cell>
          <cell r="DW594">
            <v>0</v>
          </cell>
          <cell r="DX594">
            <v>0</v>
          </cell>
          <cell r="DY594">
            <v>0</v>
          </cell>
          <cell r="DZ594">
            <v>0</v>
          </cell>
          <cell r="EA594">
            <v>0</v>
          </cell>
          <cell r="EB594">
            <v>0</v>
          </cell>
          <cell r="EC594">
            <v>0</v>
          </cell>
        </row>
        <row r="595"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R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BA595">
            <v>0</v>
          </cell>
          <cell r="BB595">
            <v>0</v>
          </cell>
          <cell r="BH595">
            <v>0</v>
          </cell>
          <cell r="BI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U595">
            <v>0</v>
          </cell>
          <cell r="BV595">
            <v>0</v>
          </cell>
          <cell r="BW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N595">
            <v>0</v>
          </cell>
          <cell r="CO595">
            <v>0</v>
          </cell>
          <cell r="CP595">
            <v>0</v>
          </cell>
          <cell r="CS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L595">
            <v>0</v>
          </cell>
          <cell r="DM595">
            <v>0</v>
          </cell>
          <cell r="DO595">
            <v>0</v>
          </cell>
          <cell r="DQ595">
            <v>0</v>
          </cell>
          <cell r="DW595">
            <v>0</v>
          </cell>
          <cell r="DX595">
            <v>0</v>
          </cell>
          <cell r="DY595">
            <v>0</v>
          </cell>
          <cell r="DZ595">
            <v>0</v>
          </cell>
          <cell r="EA595">
            <v>0</v>
          </cell>
          <cell r="EB595">
            <v>0</v>
          </cell>
          <cell r="EC595">
            <v>0</v>
          </cell>
        </row>
        <row r="596"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R596">
            <v>0</v>
          </cell>
          <cell r="V596">
            <v>0</v>
          </cell>
          <cell r="W596">
            <v>1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BA596">
            <v>0</v>
          </cell>
          <cell r="BB596">
            <v>0</v>
          </cell>
          <cell r="BH596">
            <v>0</v>
          </cell>
          <cell r="BI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U596">
            <v>0</v>
          </cell>
          <cell r="BV596">
            <v>0</v>
          </cell>
          <cell r="BW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N596">
            <v>0</v>
          </cell>
          <cell r="CO596">
            <v>0</v>
          </cell>
          <cell r="CP596">
            <v>0</v>
          </cell>
          <cell r="CS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1</v>
          </cell>
          <cell r="DF596">
            <v>0</v>
          </cell>
          <cell r="DG596">
            <v>0</v>
          </cell>
          <cell r="DH596">
            <v>0</v>
          </cell>
          <cell r="DL596">
            <v>0</v>
          </cell>
          <cell r="DM596">
            <v>0</v>
          </cell>
          <cell r="DO596">
            <v>0</v>
          </cell>
          <cell r="DQ596">
            <v>0</v>
          </cell>
          <cell r="DW596">
            <v>0</v>
          </cell>
          <cell r="DX596">
            <v>0</v>
          </cell>
          <cell r="DY596">
            <v>0</v>
          </cell>
          <cell r="DZ596">
            <v>0</v>
          </cell>
          <cell r="EA596">
            <v>0</v>
          </cell>
          <cell r="EB596">
            <v>0</v>
          </cell>
          <cell r="EC596">
            <v>0</v>
          </cell>
        </row>
        <row r="597"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R597">
            <v>0</v>
          </cell>
          <cell r="V597">
            <v>0</v>
          </cell>
          <cell r="W597">
            <v>1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BA597">
            <v>0</v>
          </cell>
          <cell r="BB597">
            <v>0</v>
          </cell>
          <cell r="BH597">
            <v>0</v>
          </cell>
          <cell r="BI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U597">
            <v>0</v>
          </cell>
          <cell r="BV597">
            <v>0</v>
          </cell>
          <cell r="BW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N597">
            <v>0</v>
          </cell>
          <cell r="CO597">
            <v>0</v>
          </cell>
          <cell r="CP597">
            <v>0</v>
          </cell>
          <cell r="CS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1</v>
          </cell>
          <cell r="DH597">
            <v>0</v>
          </cell>
          <cell r="DL597">
            <v>0</v>
          </cell>
          <cell r="DM597">
            <v>0</v>
          </cell>
          <cell r="DO597">
            <v>0</v>
          </cell>
          <cell r="DQ597">
            <v>0</v>
          </cell>
          <cell r="DW597">
            <v>0</v>
          </cell>
          <cell r="DX597">
            <v>0</v>
          </cell>
          <cell r="DY597">
            <v>0</v>
          </cell>
          <cell r="DZ597">
            <v>0</v>
          </cell>
          <cell r="EA597">
            <v>0</v>
          </cell>
          <cell r="EB597">
            <v>0</v>
          </cell>
          <cell r="EC597">
            <v>0</v>
          </cell>
        </row>
        <row r="598"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R598">
            <v>0</v>
          </cell>
          <cell r="V598">
            <v>0</v>
          </cell>
          <cell r="W598">
            <v>1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BA598">
            <v>0</v>
          </cell>
          <cell r="BB598">
            <v>0</v>
          </cell>
          <cell r="BH598">
            <v>0</v>
          </cell>
          <cell r="BI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U598">
            <v>0</v>
          </cell>
          <cell r="BV598">
            <v>0</v>
          </cell>
          <cell r="BW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N598">
            <v>0</v>
          </cell>
          <cell r="CO598">
            <v>0</v>
          </cell>
          <cell r="CP598">
            <v>0</v>
          </cell>
          <cell r="CS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1</v>
          </cell>
          <cell r="DG598">
            <v>0</v>
          </cell>
          <cell r="DH598">
            <v>0</v>
          </cell>
          <cell r="DL598">
            <v>0</v>
          </cell>
          <cell r="DM598">
            <v>0</v>
          </cell>
          <cell r="DO598">
            <v>0</v>
          </cell>
          <cell r="DQ598">
            <v>0</v>
          </cell>
          <cell r="DW598">
            <v>0</v>
          </cell>
          <cell r="DX598">
            <v>0</v>
          </cell>
          <cell r="DY598">
            <v>0</v>
          </cell>
          <cell r="DZ598">
            <v>0</v>
          </cell>
          <cell r="EA598">
            <v>0</v>
          </cell>
          <cell r="EB598">
            <v>0</v>
          </cell>
          <cell r="EC598">
            <v>0</v>
          </cell>
        </row>
        <row r="599"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K599">
            <v>1</v>
          </cell>
          <cell r="L599">
            <v>0</v>
          </cell>
          <cell r="M599">
            <v>0</v>
          </cell>
          <cell r="N599">
            <v>0</v>
          </cell>
          <cell r="R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BA599">
            <v>0</v>
          </cell>
          <cell r="BB599">
            <v>0</v>
          </cell>
          <cell r="BH599">
            <v>0</v>
          </cell>
          <cell r="BI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U599">
            <v>0</v>
          </cell>
          <cell r="BV599">
            <v>0</v>
          </cell>
          <cell r="BW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N599">
            <v>0</v>
          </cell>
          <cell r="CO599">
            <v>0</v>
          </cell>
          <cell r="CP599">
            <v>0</v>
          </cell>
          <cell r="CS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L599">
            <v>0</v>
          </cell>
          <cell r="DM599">
            <v>0</v>
          </cell>
          <cell r="DO599">
            <v>0</v>
          </cell>
          <cell r="DQ599">
            <v>0</v>
          </cell>
          <cell r="DW599">
            <v>0</v>
          </cell>
          <cell r="DX599">
            <v>0</v>
          </cell>
          <cell r="DY599">
            <v>0</v>
          </cell>
          <cell r="DZ599">
            <v>0</v>
          </cell>
          <cell r="EA599">
            <v>0</v>
          </cell>
          <cell r="EB599">
            <v>0</v>
          </cell>
          <cell r="EC599">
            <v>0</v>
          </cell>
        </row>
        <row r="600"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R600">
            <v>0</v>
          </cell>
          <cell r="V600">
            <v>0</v>
          </cell>
          <cell r="W600">
            <v>1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BA600">
            <v>0</v>
          </cell>
          <cell r="BB600">
            <v>0</v>
          </cell>
          <cell r="BH600">
            <v>0</v>
          </cell>
          <cell r="BI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U600">
            <v>0</v>
          </cell>
          <cell r="BV600">
            <v>0</v>
          </cell>
          <cell r="BW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N600">
            <v>0</v>
          </cell>
          <cell r="CO600">
            <v>0</v>
          </cell>
          <cell r="CP600">
            <v>0</v>
          </cell>
          <cell r="CS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L600">
            <v>0</v>
          </cell>
          <cell r="DM600">
            <v>0</v>
          </cell>
          <cell r="DO600">
            <v>0</v>
          </cell>
          <cell r="DQ600">
            <v>0</v>
          </cell>
          <cell r="DW600">
            <v>0</v>
          </cell>
          <cell r="DX600">
            <v>0</v>
          </cell>
          <cell r="DY600">
            <v>0</v>
          </cell>
          <cell r="DZ600">
            <v>0</v>
          </cell>
          <cell r="EA600">
            <v>0</v>
          </cell>
          <cell r="EB600">
            <v>0</v>
          </cell>
          <cell r="EC600">
            <v>0</v>
          </cell>
        </row>
        <row r="601"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R601">
            <v>0</v>
          </cell>
          <cell r="V601">
            <v>0</v>
          </cell>
          <cell r="W601">
            <v>1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BA601">
            <v>0</v>
          </cell>
          <cell r="BB601">
            <v>0</v>
          </cell>
          <cell r="BH601">
            <v>0</v>
          </cell>
          <cell r="BI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U601">
            <v>0</v>
          </cell>
          <cell r="BV601">
            <v>0</v>
          </cell>
          <cell r="BW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N601">
            <v>0</v>
          </cell>
          <cell r="CO601">
            <v>0</v>
          </cell>
          <cell r="CP601">
            <v>0</v>
          </cell>
          <cell r="CS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L601">
            <v>0</v>
          </cell>
          <cell r="DM601">
            <v>0</v>
          </cell>
          <cell r="DO601">
            <v>0</v>
          </cell>
          <cell r="DQ601">
            <v>0</v>
          </cell>
          <cell r="DW601">
            <v>0</v>
          </cell>
          <cell r="DX601">
            <v>0</v>
          </cell>
          <cell r="DY601">
            <v>0</v>
          </cell>
          <cell r="DZ601">
            <v>0</v>
          </cell>
          <cell r="EA601">
            <v>0</v>
          </cell>
          <cell r="EB601">
            <v>0</v>
          </cell>
          <cell r="EC601">
            <v>0</v>
          </cell>
        </row>
        <row r="602"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R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BA602">
            <v>0</v>
          </cell>
          <cell r="BB602">
            <v>0</v>
          </cell>
          <cell r="BH602">
            <v>0</v>
          </cell>
          <cell r="BI602">
            <v>0</v>
          </cell>
          <cell r="BL602">
            <v>0</v>
          </cell>
          <cell r="BM602">
            <v>1</v>
          </cell>
          <cell r="BN602">
            <v>1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U602">
            <v>0</v>
          </cell>
          <cell r="BV602">
            <v>0</v>
          </cell>
          <cell r="BW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N602">
            <v>0</v>
          </cell>
          <cell r="CO602">
            <v>0</v>
          </cell>
          <cell r="CP602">
            <v>0</v>
          </cell>
          <cell r="CS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L602">
            <v>0</v>
          </cell>
          <cell r="DM602">
            <v>0</v>
          </cell>
          <cell r="DO602">
            <v>0</v>
          </cell>
          <cell r="DQ602">
            <v>0</v>
          </cell>
          <cell r="DW602">
            <v>0</v>
          </cell>
          <cell r="DX602">
            <v>0</v>
          </cell>
          <cell r="DY602">
            <v>0</v>
          </cell>
          <cell r="DZ602">
            <v>0</v>
          </cell>
          <cell r="EA602">
            <v>0</v>
          </cell>
          <cell r="EB602">
            <v>0</v>
          </cell>
          <cell r="EC602">
            <v>0</v>
          </cell>
        </row>
        <row r="603"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R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BA603">
            <v>0</v>
          </cell>
          <cell r="BB603">
            <v>0</v>
          </cell>
          <cell r="BH603">
            <v>0</v>
          </cell>
          <cell r="BI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U603">
            <v>0</v>
          </cell>
          <cell r="BV603">
            <v>0</v>
          </cell>
          <cell r="BW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N603">
            <v>0</v>
          </cell>
          <cell r="CO603">
            <v>0</v>
          </cell>
          <cell r="CP603">
            <v>0</v>
          </cell>
          <cell r="CS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1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L603">
            <v>0</v>
          </cell>
          <cell r="DM603">
            <v>0</v>
          </cell>
          <cell r="DO603">
            <v>0</v>
          </cell>
          <cell r="DQ603">
            <v>0</v>
          </cell>
          <cell r="DW603">
            <v>0</v>
          </cell>
          <cell r="DX603">
            <v>0</v>
          </cell>
          <cell r="DY603">
            <v>0</v>
          </cell>
          <cell r="DZ603">
            <v>0</v>
          </cell>
          <cell r="EA603">
            <v>0</v>
          </cell>
          <cell r="EB603">
            <v>0</v>
          </cell>
          <cell r="EC603">
            <v>0</v>
          </cell>
        </row>
        <row r="604"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R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BA604">
            <v>0</v>
          </cell>
          <cell r="BB604">
            <v>0</v>
          </cell>
          <cell r="BH604">
            <v>0</v>
          </cell>
          <cell r="BI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U604">
            <v>0</v>
          </cell>
          <cell r="BV604">
            <v>0</v>
          </cell>
          <cell r="BW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N604">
            <v>0</v>
          </cell>
          <cell r="CO604">
            <v>0</v>
          </cell>
          <cell r="CP604">
            <v>0</v>
          </cell>
          <cell r="CS604">
            <v>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L604">
            <v>0</v>
          </cell>
          <cell r="DM604">
            <v>0</v>
          </cell>
          <cell r="DO604">
            <v>0</v>
          </cell>
          <cell r="DQ604">
            <v>0</v>
          </cell>
          <cell r="DW604">
            <v>0</v>
          </cell>
          <cell r="DX604">
            <v>0</v>
          </cell>
          <cell r="DY604">
            <v>0</v>
          </cell>
          <cell r="DZ604">
            <v>0</v>
          </cell>
          <cell r="EA604">
            <v>0</v>
          </cell>
          <cell r="EB604">
            <v>0</v>
          </cell>
          <cell r="EC604">
            <v>0</v>
          </cell>
        </row>
        <row r="605"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R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BA605">
            <v>0</v>
          </cell>
          <cell r="BB605">
            <v>0</v>
          </cell>
          <cell r="BH605">
            <v>0</v>
          </cell>
          <cell r="BI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U605">
            <v>0</v>
          </cell>
          <cell r="BV605">
            <v>0</v>
          </cell>
          <cell r="BW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N605">
            <v>0</v>
          </cell>
          <cell r="CO605">
            <v>1</v>
          </cell>
          <cell r="CP605">
            <v>0</v>
          </cell>
          <cell r="CS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L605">
            <v>0</v>
          </cell>
          <cell r="DM605">
            <v>0</v>
          </cell>
          <cell r="DO605">
            <v>0</v>
          </cell>
          <cell r="DQ605">
            <v>0</v>
          </cell>
          <cell r="DW605">
            <v>0</v>
          </cell>
          <cell r="DX605">
            <v>0</v>
          </cell>
          <cell r="DY605">
            <v>0</v>
          </cell>
          <cell r="DZ605">
            <v>0</v>
          </cell>
          <cell r="EA605">
            <v>0</v>
          </cell>
          <cell r="EB605">
            <v>0</v>
          </cell>
          <cell r="EC605">
            <v>0</v>
          </cell>
        </row>
        <row r="606"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R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BA606">
            <v>0</v>
          </cell>
          <cell r="BB606">
            <v>0</v>
          </cell>
          <cell r="BH606">
            <v>0</v>
          </cell>
          <cell r="BI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U606">
            <v>0</v>
          </cell>
          <cell r="BV606">
            <v>0</v>
          </cell>
          <cell r="BW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N606">
            <v>0</v>
          </cell>
          <cell r="CO606">
            <v>0</v>
          </cell>
          <cell r="CP606">
            <v>1</v>
          </cell>
          <cell r="CS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1</v>
          </cell>
          <cell r="CZ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L606">
            <v>0</v>
          </cell>
          <cell r="DM606">
            <v>0</v>
          </cell>
          <cell r="DO606">
            <v>0</v>
          </cell>
          <cell r="DQ606">
            <v>0</v>
          </cell>
          <cell r="DW606">
            <v>0</v>
          </cell>
          <cell r="DX606">
            <v>0</v>
          </cell>
          <cell r="DY606">
            <v>0</v>
          </cell>
          <cell r="DZ606">
            <v>0</v>
          </cell>
          <cell r="EA606">
            <v>0</v>
          </cell>
          <cell r="EB606">
            <v>0</v>
          </cell>
          <cell r="EC606">
            <v>0</v>
          </cell>
        </row>
        <row r="607"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R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BA607">
            <v>0</v>
          </cell>
          <cell r="BB607">
            <v>0</v>
          </cell>
          <cell r="BH607">
            <v>0</v>
          </cell>
          <cell r="BI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U607">
            <v>0</v>
          </cell>
          <cell r="BV607">
            <v>0</v>
          </cell>
          <cell r="BW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N607">
            <v>0</v>
          </cell>
          <cell r="CO607">
            <v>0</v>
          </cell>
          <cell r="CP607">
            <v>0</v>
          </cell>
          <cell r="CS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H607">
            <v>0</v>
          </cell>
          <cell r="DL607">
            <v>0</v>
          </cell>
          <cell r="DM607">
            <v>0</v>
          </cell>
          <cell r="DO607">
            <v>0</v>
          </cell>
          <cell r="DQ607">
            <v>0</v>
          </cell>
          <cell r="DW607">
            <v>0</v>
          </cell>
          <cell r="DX607">
            <v>0</v>
          </cell>
          <cell r="DY607">
            <v>0</v>
          </cell>
          <cell r="DZ607">
            <v>0</v>
          </cell>
          <cell r="EA607">
            <v>0</v>
          </cell>
          <cell r="EB607">
            <v>0</v>
          </cell>
          <cell r="EC607">
            <v>0</v>
          </cell>
        </row>
        <row r="608"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R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BA608">
            <v>0</v>
          </cell>
          <cell r="BB608">
            <v>0</v>
          </cell>
          <cell r="BH608">
            <v>0</v>
          </cell>
          <cell r="BI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U608">
            <v>0</v>
          </cell>
          <cell r="BV608">
            <v>0</v>
          </cell>
          <cell r="BW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N608">
            <v>0</v>
          </cell>
          <cell r="CO608">
            <v>0</v>
          </cell>
          <cell r="CP608">
            <v>0</v>
          </cell>
          <cell r="CS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L608">
            <v>1</v>
          </cell>
          <cell r="DM608">
            <v>1</v>
          </cell>
          <cell r="DO608">
            <v>0</v>
          </cell>
          <cell r="DQ608">
            <v>0</v>
          </cell>
          <cell r="DW608">
            <v>0</v>
          </cell>
          <cell r="DX608">
            <v>0</v>
          </cell>
          <cell r="DY608">
            <v>0</v>
          </cell>
          <cell r="DZ608">
            <v>0</v>
          </cell>
          <cell r="EA608">
            <v>0</v>
          </cell>
          <cell r="EB608">
            <v>0</v>
          </cell>
          <cell r="EC608">
            <v>0</v>
          </cell>
        </row>
        <row r="609"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R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BA609">
            <v>0</v>
          </cell>
          <cell r="BB609">
            <v>0</v>
          </cell>
          <cell r="BH609">
            <v>0</v>
          </cell>
          <cell r="BI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1</v>
          </cell>
          <cell r="BU609">
            <v>0</v>
          </cell>
          <cell r="BV609">
            <v>0</v>
          </cell>
          <cell r="BW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N609">
            <v>0</v>
          </cell>
          <cell r="CO609">
            <v>0</v>
          </cell>
          <cell r="CP609">
            <v>0</v>
          </cell>
          <cell r="CS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L609">
            <v>0</v>
          </cell>
          <cell r="DM609">
            <v>0</v>
          </cell>
          <cell r="DO609">
            <v>0</v>
          </cell>
          <cell r="DQ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</row>
        <row r="610"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R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BA610">
            <v>0</v>
          </cell>
          <cell r="BB610">
            <v>0</v>
          </cell>
          <cell r="BH610">
            <v>0</v>
          </cell>
          <cell r="BI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U610">
            <v>0</v>
          </cell>
          <cell r="BV610">
            <v>0</v>
          </cell>
          <cell r="BW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N610">
            <v>0</v>
          </cell>
          <cell r="CO610">
            <v>0</v>
          </cell>
          <cell r="CP610">
            <v>0</v>
          </cell>
          <cell r="CS610">
            <v>1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L610">
            <v>0</v>
          </cell>
          <cell r="DM610">
            <v>0</v>
          </cell>
          <cell r="DO610">
            <v>0</v>
          </cell>
          <cell r="DQ610">
            <v>0</v>
          </cell>
          <cell r="DW610">
            <v>0</v>
          </cell>
          <cell r="DX610">
            <v>0</v>
          </cell>
          <cell r="DY610">
            <v>0</v>
          </cell>
          <cell r="DZ610">
            <v>0</v>
          </cell>
          <cell r="EA610">
            <v>0</v>
          </cell>
          <cell r="EB610">
            <v>0</v>
          </cell>
          <cell r="EC610">
            <v>0</v>
          </cell>
        </row>
        <row r="611"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R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BA611">
            <v>0</v>
          </cell>
          <cell r="BB611">
            <v>0</v>
          </cell>
          <cell r="BH611">
            <v>0</v>
          </cell>
          <cell r="BI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U611">
            <v>0</v>
          </cell>
          <cell r="BV611">
            <v>0</v>
          </cell>
          <cell r="BW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N611">
            <v>0</v>
          </cell>
          <cell r="CO611">
            <v>0</v>
          </cell>
          <cell r="CP611">
            <v>0</v>
          </cell>
          <cell r="CS611">
            <v>0</v>
          </cell>
          <cell r="CU611">
            <v>0</v>
          </cell>
          <cell r="CV611">
            <v>1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L611">
            <v>0</v>
          </cell>
          <cell r="DM611">
            <v>0</v>
          </cell>
          <cell r="DO611">
            <v>0</v>
          </cell>
          <cell r="DQ611">
            <v>0</v>
          </cell>
          <cell r="DW611">
            <v>0</v>
          </cell>
          <cell r="DX611">
            <v>0</v>
          </cell>
          <cell r="DY611">
            <v>0</v>
          </cell>
          <cell r="DZ611">
            <v>0</v>
          </cell>
          <cell r="EA611">
            <v>0</v>
          </cell>
          <cell r="EB611">
            <v>0</v>
          </cell>
          <cell r="EC611">
            <v>0</v>
          </cell>
        </row>
        <row r="612"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R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BA612">
            <v>0</v>
          </cell>
          <cell r="BB612">
            <v>0</v>
          </cell>
          <cell r="BH612">
            <v>0</v>
          </cell>
          <cell r="BI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U612">
            <v>0</v>
          </cell>
          <cell r="BV612">
            <v>0</v>
          </cell>
          <cell r="BW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N612">
            <v>0</v>
          </cell>
          <cell r="CO612">
            <v>0</v>
          </cell>
          <cell r="CP612">
            <v>0</v>
          </cell>
          <cell r="CS612">
            <v>0</v>
          </cell>
          <cell r="CU612">
            <v>0</v>
          </cell>
          <cell r="CV612">
            <v>0</v>
          </cell>
          <cell r="CW612">
            <v>1</v>
          </cell>
          <cell r="CX612">
            <v>0</v>
          </cell>
          <cell r="CY612">
            <v>0</v>
          </cell>
          <cell r="CZ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L612">
            <v>0</v>
          </cell>
          <cell r="DM612">
            <v>0</v>
          </cell>
          <cell r="DO612">
            <v>0</v>
          </cell>
          <cell r="DQ612">
            <v>0</v>
          </cell>
          <cell r="DW612">
            <v>0</v>
          </cell>
          <cell r="DX612">
            <v>0</v>
          </cell>
          <cell r="DY612">
            <v>0</v>
          </cell>
          <cell r="DZ612">
            <v>0</v>
          </cell>
          <cell r="EA612">
            <v>0</v>
          </cell>
          <cell r="EB612">
            <v>0</v>
          </cell>
          <cell r="EC612">
            <v>0</v>
          </cell>
        </row>
        <row r="613">
          <cell r="D613">
            <v>0</v>
          </cell>
          <cell r="E613">
            <v>0</v>
          </cell>
          <cell r="F613">
            <v>0</v>
          </cell>
          <cell r="G613">
            <v>1</v>
          </cell>
          <cell r="H613">
            <v>0</v>
          </cell>
          <cell r="I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R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BA613">
            <v>0</v>
          </cell>
          <cell r="BB613">
            <v>0</v>
          </cell>
          <cell r="BH613">
            <v>0</v>
          </cell>
          <cell r="BI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U613">
            <v>0</v>
          </cell>
          <cell r="BV613">
            <v>0</v>
          </cell>
          <cell r="BW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N613">
            <v>0</v>
          </cell>
          <cell r="CO613">
            <v>0</v>
          </cell>
          <cell r="CP613">
            <v>0</v>
          </cell>
          <cell r="CS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L613">
            <v>0</v>
          </cell>
          <cell r="DM613">
            <v>0</v>
          </cell>
          <cell r="DO613">
            <v>0</v>
          </cell>
          <cell r="DQ613">
            <v>0</v>
          </cell>
          <cell r="DW613">
            <v>0</v>
          </cell>
          <cell r="DX613">
            <v>0</v>
          </cell>
          <cell r="DY613">
            <v>0</v>
          </cell>
          <cell r="DZ613">
            <v>0</v>
          </cell>
          <cell r="EA613">
            <v>0</v>
          </cell>
          <cell r="EB613">
            <v>0</v>
          </cell>
          <cell r="EC613">
            <v>0</v>
          </cell>
        </row>
        <row r="614"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R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BA614">
            <v>0</v>
          </cell>
          <cell r="BB614">
            <v>0</v>
          </cell>
          <cell r="BH614">
            <v>0</v>
          </cell>
          <cell r="BI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U614">
            <v>0</v>
          </cell>
          <cell r="BV614">
            <v>0</v>
          </cell>
          <cell r="BW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N614">
            <v>0</v>
          </cell>
          <cell r="CO614">
            <v>0</v>
          </cell>
          <cell r="CP614">
            <v>0</v>
          </cell>
          <cell r="CS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L614">
            <v>0</v>
          </cell>
          <cell r="DM614">
            <v>0</v>
          </cell>
          <cell r="DO614">
            <v>0</v>
          </cell>
          <cell r="DQ614">
            <v>0</v>
          </cell>
          <cell r="DW614">
            <v>1</v>
          </cell>
          <cell r="DX614">
            <v>0</v>
          </cell>
          <cell r="DY614">
            <v>0</v>
          </cell>
          <cell r="DZ614">
            <v>0</v>
          </cell>
          <cell r="EA614">
            <v>0</v>
          </cell>
          <cell r="EB614">
            <v>0</v>
          </cell>
          <cell r="EC614">
            <v>0</v>
          </cell>
        </row>
        <row r="615"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R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BA615">
            <v>0</v>
          </cell>
          <cell r="BB615">
            <v>0</v>
          </cell>
          <cell r="BH615">
            <v>0</v>
          </cell>
          <cell r="BI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1</v>
          </cell>
          <cell r="BS615">
            <v>0</v>
          </cell>
          <cell r="BU615">
            <v>0</v>
          </cell>
          <cell r="BV615">
            <v>0</v>
          </cell>
          <cell r="BW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N615">
            <v>0</v>
          </cell>
          <cell r="CO615">
            <v>0</v>
          </cell>
          <cell r="CP615">
            <v>0</v>
          </cell>
          <cell r="CS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L615">
            <v>0</v>
          </cell>
          <cell r="DM615">
            <v>0</v>
          </cell>
          <cell r="DO615">
            <v>0</v>
          </cell>
          <cell r="DQ615">
            <v>0</v>
          </cell>
          <cell r="DW615">
            <v>0</v>
          </cell>
          <cell r="DX615">
            <v>0</v>
          </cell>
          <cell r="DY615">
            <v>0</v>
          </cell>
          <cell r="DZ615">
            <v>0</v>
          </cell>
          <cell r="EA615">
            <v>0</v>
          </cell>
          <cell r="EB615">
            <v>0</v>
          </cell>
          <cell r="EC615">
            <v>0</v>
          </cell>
        </row>
        <row r="616"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R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BA616">
            <v>0</v>
          </cell>
          <cell r="BB616">
            <v>0</v>
          </cell>
          <cell r="BH616">
            <v>0</v>
          </cell>
          <cell r="BI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U616">
            <v>0</v>
          </cell>
          <cell r="BV616">
            <v>0</v>
          </cell>
          <cell r="BW616">
            <v>0</v>
          </cell>
          <cell r="BZ616">
            <v>1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N616">
            <v>0</v>
          </cell>
          <cell r="CO616">
            <v>0</v>
          </cell>
          <cell r="CP616">
            <v>0</v>
          </cell>
          <cell r="CS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L616">
            <v>0</v>
          </cell>
          <cell r="DM616">
            <v>0</v>
          </cell>
          <cell r="DO616">
            <v>0</v>
          </cell>
          <cell r="DQ616">
            <v>0</v>
          </cell>
          <cell r="DW616">
            <v>0</v>
          </cell>
          <cell r="DX616">
            <v>0</v>
          </cell>
          <cell r="DY616">
            <v>0</v>
          </cell>
          <cell r="DZ616">
            <v>0</v>
          </cell>
          <cell r="EA616">
            <v>0</v>
          </cell>
          <cell r="EB616">
            <v>0</v>
          </cell>
          <cell r="EC616">
            <v>0</v>
          </cell>
        </row>
        <row r="617"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R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BA617">
            <v>0</v>
          </cell>
          <cell r="BB617">
            <v>0</v>
          </cell>
          <cell r="BH617">
            <v>0</v>
          </cell>
          <cell r="BI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U617">
            <v>0</v>
          </cell>
          <cell r="BV617">
            <v>0</v>
          </cell>
          <cell r="BW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1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N617">
            <v>0</v>
          </cell>
          <cell r="CO617">
            <v>0</v>
          </cell>
          <cell r="CP617">
            <v>0</v>
          </cell>
          <cell r="CS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L617">
            <v>0</v>
          </cell>
          <cell r="DM617">
            <v>0</v>
          </cell>
          <cell r="DO617">
            <v>0</v>
          </cell>
          <cell r="DQ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</row>
        <row r="618"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R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BA618">
            <v>0</v>
          </cell>
          <cell r="BB618">
            <v>0</v>
          </cell>
          <cell r="BH618">
            <v>0</v>
          </cell>
          <cell r="BI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U618">
            <v>0</v>
          </cell>
          <cell r="BV618">
            <v>0</v>
          </cell>
          <cell r="BW618">
            <v>0</v>
          </cell>
          <cell r="BZ618">
            <v>0</v>
          </cell>
          <cell r="CA618">
            <v>0</v>
          </cell>
          <cell r="CB618">
            <v>1</v>
          </cell>
          <cell r="CC618">
            <v>0</v>
          </cell>
          <cell r="CD618">
            <v>0</v>
          </cell>
          <cell r="CE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N618">
            <v>0</v>
          </cell>
          <cell r="CO618">
            <v>0</v>
          </cell>
          <cell r="CP618">
            <v>0</v>
          </cell>
          <cell r="CS618">
            <v>0</v>
          </cell>
          <cell r="CU618">
            <v>1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L618">
            <v>0</v>
          </cell>
          <cell r="DM618">
            <v>0</v>
          </cell>
          <cell r="DO618">
            <v>0</v>
          </cell>
          <cell r="DQ618">
            <v>0</v>
          </cell>
          <cell r="DW618">
            <v>0</v>
          </cell>
          <cell r="DX618">
            <v>0</v>
          </cell>
          <cell r="DY618">
            <v>0</v>
          </cell>
          <cell r="DZ618">
            <v>0</v>
          </cell>
          <cell r="EA618">
            <v>0</v>
          </cell>
          <cell r="EB618">
            <v>0</v>
          </cell>
          <cell r="EC618">
            <v>0</v>
          </cell>
        </row>
        <row r="619"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R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BA619">
            <v>0</v>
          </cell>
          <cell r="BB619">
            <v>0</v>
          </cell>
          <cell r="BH619">
            <v>0</v>
          </cell>
          <cell r="BI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U619">
            <v>0</v>
          </cell>
          <cell r="BV619">
            <v>0</v>
          </cell>
          <cell r="BW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N619">
            <v>0</v>
          </cell>
          <cell r="CO619">
            <v>0</v>
          </cell>
          <cell r="CP619">
            <v>0</v>
          </cell>
          <cell r="CS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L619">
            <v>0</v>
          </cell>
          <cell r="DM619">
            <v>0</v>
          </cell>
          <cell r="DO619">
            <v>0</v>
          </cell>
          <cell r="DQ619">
            <v>0</v>
          </cell>
          <cell r="DW619">
            <v>0</v>
          </cell>
          <cell r="DX619">
            <v>0</v>
          </cell>
          <cell r="DY619">
            <v>0</v>
          </cell>
          <cell r="DZ619">
            <v>0</v>
          </cell>
          <cell r="EA619">
            <v>0</v>
          </cell>
          <cell r="EB619">
            <v>0</v>
          </cell>
          <cell r="EC619">
            <v>0</v>
          </cell>
        </row>
        <row r="620"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R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BA620">
            <v>0</v>
          </cell>
          <cell r="BB620">
            <v>0</v>
          </cell>
          <cell r="BH620">
            <v>0</v>
          </cell>
          <cell r="BI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U620">
            <v>0</v>
          </cell>
          <cell r="BV620">
            <v>0</v>
          </cell>
          <cell r="BW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N620">
            <v>0</v>
          </cell>
          <cell r="CO620">
            <v>0</v>
          </cell>
          <cell r="CP620">
            <v>0</v>
          </cell>
          <cell r="CS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L620">
            <v>0</v>
          </cell>
          <cell r="DM620">
            <v>0</v>
          </cell>
          <cell r="DO620">
            <v>0</v>
          </cell>
          <cell r="DQ620">
            <v>0</v>
          </cell>
          <cell r="DW620">
            <v>0</v>
          </cell>
          <cell r="DX620">
            <v>0</v>
          </cell>
          <cell r="DY620">
            <v>0</v>
          </cell>
          <cell r="DZ620">
            <v>0</v>
          </cell>
          <cell r="EA620">
            <v>0</v>
          </cell>
          <cell r="EB620">
            <v>0</v>
          </cell>
          <cell r="EC620">
            <v>0</v>
          </cell>
        </row>
        <row r="621"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R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BA621">
            <v>0</v>
          </cell>
          <cell r="BB621">
            <v>0</v>
          </cell>
          <cell r="BH621">
            <v>0</v>
          </cell>
          <cell r="BI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U621">
            <v>1</v>
          </cell>
          <cell r="BV621">
            <v>0</v>
          </cell>
          <cell r="BW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N621">
            <v>0</v>
          </cell>
          <cell r="CO621">
            <v>0</v>
          </cell>
          <cell r="CP621">
            <v>0</v>
          </cell>
          <cell r="CS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L621">
            <v>0</v>
          </cell>
          <cell r="DM621">
            <v>0</v>
          </cell>
          <cell r="DO621">
            <v>0</v>
          </cell>
          <cell r="DQ621">
            <v>0</v>
          </cell>
          <cell r="DW621">
            <v>0</v>
          </cell>
          <cell r="DX621">
            <v>0</v>
          </cell>
          <cell r="DY621">
            <v>0</v>
          </cell>
          <cell r="DZ621">
            <v>0</v>
          </cell>
          <cell r="EA621">
            <v>0</v>
          </cell>
          <cell r="EB621">
            <v>0</v>
          </cell>
          <cell r="EC621">
            <v>0</v>
          </cell>
        </row>
        <row r="622"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R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BA622">
            <v>0</v>
          </cell>
          <cell r="BB622">
            <v>0</v>
          </cell>
          <cell r="BH622">
            <v>0</v>
          </cell>
          <cell r="BI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U622">
            <v>0</v>
          </cell>
          <cell r="BV622">
            <v>0</v>
          </cell>
          <cell r="BW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N622">
            <v>0</v>
          </cell>
          <cell r="CO622">
            <v>0</v>
          </cell>
          <cell r="CP622">
            <v>0</v>
          </cell>
          <cell r="CS622">
            <v>0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1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L622">
            <v>0</v>
          </cell>
          <cell r="DM622">
            <v>0</v>
          </cell>
          <cell r="DO622">
            <v>0</v>
          </cell>
          <cell r="DQ622">
            <v>0</v>
          </cell>
          <cell r="DW622">
            <v>0</v>
          </cell>
          <cell r="DX622">
            <v>0</v>
          </cell>
          <cell r="DY622">
            <v>0</v>
          </cell>
          <cell r="DZ622">
            <v>0</v>
          </cell>
          <cell r="EA622">
            <v>0</v>
          </cell>
          <cell r="EB622">
            <v>0</v>
          </cell>
          <cell r="EC622">
            <v>0</v>
          </cell>
        </row>
        <row r="623"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R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BA623">
            <v>0</v>
          </cell>
          <cell r="BB623">
            <v>0</v>
          </cell>
          <cell r="BH623">
            <v>0</v>
          </cell>
          <cell r="BI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U623">
            <v>0</v>
          </cell>
          <cell r="BV623">
            <v>0</v>
          </cell>
          <cell r="BW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1</v>
          </cell>
          <cell r="CN623">
            <v>1</v>
          </cell>
          <cell r="CO623">
            <v>0</v>
          </cell>
          <cell r="CP623">
            <v>0</v>
          </cell>
          <cell r="CS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L623">
            <v>0</v>
          </cell>
          <cell r="DM623">
            <v>0</v>
          </cell>
          <cell r="DO623">
            <v>0</v>
          </cell>
          <cell r="DQ623">
            <v>0</v>
          </cell>
          <cell r="DW623">
            <v>0</v>
          </cell>
          <cell r="DX623">
            <v>0</v>
          </cell>
          <cell r="DY623">
            <v>0</v>
          </cell>
          <cell r="DZ623">
            <v>0</v>
          </cell>
          <cell r="EA623">
            <v>0</v>
          </cell>
          <cell r="EB623">
            <v>0</v>
          </cell>
          <cell r="EC623">
            <v>0</v>
          </cell>
        </row>
        <row r="624"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R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BA624">
            <v>1</v>
          </cell>
          <cell r="BB624">
            <v>1</v>
          </cell>
          <cell r="BH624">
            <v>0</v>
          </cell>
          <cell r="BI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U624">
            <v>0</v>
          </cell>
          <cell r="BV624">
            <v>0</v>
          </cell>
          <cell r="BW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N624">
            <v>0</v>
          </cell>
          <cell r="CO624">
            <v>0</v>
          </cell>
          <cell r="CP624">
            <v>0</v>
          </cell>
          <cell r="CS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L624">
            <v>0</v>
          </cell>
          <cell r="DM624">
            <v>0</v>
          </cell>
          <cell r="DO624">
            <v>0</v>
          </cell>
          <cell r="DQ624">
            <v>0</v>
          </cell>
          <cell r="DW624">
            <v>0</v>
          </cell>
          <cell r="DX624">
            <v>0</v>
          </cell>
          <cell r="DY624">
            <v>0</v>
          </cell>
          <cell r="DZ624">
            <v>0</v>
          </cell>
          <cell r="EA624">
            <v>0</v>
          </cell>
          <cell r="EB624">
            <v>0</v>
          </cell>
          <cell r="EC624">
            <v>0</v>
          </cell>
        </row>
        <row r="625"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R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BA625">
            <v>0</v>
          </cell>
          <cell r="BB625">
            <v>0</v>
          </cell>
          <cell r="BH625">
            <v>0</v>
          </cell>
          <cell r="BI625">
            <v>0</v>
          </cell>
          <cell r="BL625">
            <v>0</v>
          </cell>
          <cell r="BM625">
            <v>0</v>
          </cell>
          <cell r="BN625">
            <v>1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U625">
            <v>0</v>
          </cell>
          <cell r="BV625">
            <v>0</v>
          </cell>
          <cell r="BW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N625">
            <v>0</v>
          </cell>
          <cell r="CO625">
            <v>0</v>
          </cell>
          <cell r="CP625">
            <v>0</v>
          </cell>
          <cell r="CS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L625">
            <v>0</v>
          </cell>
          <cell r="DM625">
            <v>0</v>
          </cell>
          <cell r="DO625">
            <v>0</v>
          </cell>
          <cell r="DQ625">
            <v>0</v>
          </cell>
          <cell r="DW625">
            <v>0</v>
          </cell>
          <cell r="DX625">
            <v>0</v>
          </cell>
          <cell r="DY625">
            <v>0</v>
          </cell>
          <cell r="DZ625">
            <v>0</v>
          </cell>
          <cell r="EA625">
            <v>0</v>
          </cell>
          <cell r="EB625">
            <v>0</v>
          </cell>
          <cell r="EC625">
            <v>0</v>
          </cell>
        </row>
        <row r="626"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R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BA626">
            <v>0</v>
          </cell>
          <cell r="BB626">
            <v>0</v>
          </cell>
          <cell r="BH626">
            <v>0</v>
          </cell>
          <cell r="BI626">
            <v>0</v>
          </cell>
          <cell r="BL626">
            <v>0</v>
          </cell>
          <cell r="BM626">
            <v>0</v>
          </cell>
          <cell r="BN626">
            <v>1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U626">
            <v>0</v>
          </cell>
          <cell r="BV626">
            <v>0</v>
          </cell>
          <cell r="BW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N626">
            <v>0</v>
          </cell>
          <cell r="CO626">
            <v>0</v>
          </cell>
          <cell r="CP626">
            <v>0</v>
          </cell>
          <cell r="CS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L626">
            <v>0</v>
          </cell>
          <cell r="DM626">
            <v>0</v>
          </cell>
          <cell r="DO626">
            <v>0</v>
          </cell>
          <cell r="DQ626">
            <v>0</v>
          </cell>
          <cell r="DW626">
            <v>0</v>
          </cell>
          <cell r="DX626">
            <v>0</v>
          </cell>
          <cell r="DY626">
            <v>0</v>
          </cell>
          <cell r="DZ626">
            <v>0</v>
          </cell>
          <cell r="EA626">
            <v>0</v>
          </cell>
          <cell r="EB626">
            <v>0</v>
          </cell>
          <cell r="EC626">
            <v>0</v>
          </cell>
        </row>
        <row r="627"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R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BA627">
            <v>0</v>
          </cell>
          <cell r="BB627">
            <v>0</v>
          </cell>
          <cell r="BH627">
            <v>0</v>
          </cell>
          <cell r="BI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U627">
            <v>0</v>
          </cell>
          <cell r="BV627">
            <v>0</v>
          </cell>
          <cell r="BW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H627">
            <v>0</v>
          </cell>
          <cell r="CI627">
            <v>1</v>
          </cell>
          <cell r="CJ627">
            <v>1</v>
          </cell>
          <cell r="CK627">
            <v>0</v>
          </cell>
          <cell r="CN627">
            <v>0</v>
          </cell>
          <cell r="CO627">
            <v>0</v>
          </cell>
          <cell r="CP627">
            <v>0</v>
          </cell>
          <cell r="CS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L627">
            <v>0</v>
          </cell>
          <cell r="DM627">
            <v>0</v>
          </cell>
          <cell r="DO627">
            <v>0</v>
          </cell>
          <cell r="DQ627">
            <v>0</v>
          </cell>
          <cell r="DW627">
            <v>0</v>
          </cell>
          <cell r="DX627">
            <v>0</v>
          </cell>
          <cell r="DY627">
            <v>0</v>
          </cell>
          <cell r="DZ627">
            <v>0</v>
          </cell>
          <cell r="EA627">
            <v>0</v>
          </cell>
          <cell r="EB627">
            <v>0</v>
          </cell>
          <cell r="EC627">
            <v>0</v>
          </cell>
        </row>
        <row r="628"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R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BA628">
            <v>0</v>
          </cell>
          <cell r="BB628">
            <v>0</v>
          </cell>
          <cell r="BH628">
            <v>0</v>
          </cell>
          <cell r="BI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U628">
            <v>0</v>
          </cell>
          <cell r="BV628">
            <v>0</v>
          </cell>
          <cell r="BW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N628">
            <v>0</v>
          </cell>
          <cell r="CO628">
            <v>0</v>
          </cell>
          <cell r="CP628">
            <v>0</v>
          </cell>
          <cell r="CS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L628">
            <v>0</v>
          </cell>
          <cell r="DM628">
            <v>0</v>
          </cell>
          <cell r="DO628">
            <v>0</v>
          </cell>
          <cell r="DQ628">
            <v>0</v>
          </cell>
          <cell r="DW628">
            <v>0</v>
          </cell>
          <cell r="DX628">
            <v>0</v>
          </cell>
          <cell r="DY628">
            <v>0</v>
          </cell>
          <cell r="DZ628">
            <v>0</v>
          </cell>
          <cell r="EA628">
            <v>0</v>
          </cell>
          <cell r="EB628">
            <v>1</v>
          </cell>
          <cell r="EC628">
            <v>0</v>
          </cell>
        </row>
        <row r="629"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R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BA629">
            <v>0</v>
          </cell>
          <cell r="BB629">
            <v>0</v>
          </cell>
          <cell r="BH629">
            <v>0</v>
          </cell>
          <cell r="BI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U629">
            <v>0</v>
          </cell>
          <cell r="BV629">
            <v>0</v>
          </cell>
          <cell r="BW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N629">
            <v>0</v>
          </cell>
          <cell r="CO629">
            <v>0</v>
          </cell>
          <cell r="CP629">
            <v>0</v>
          </cell>
          <cell r="CS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B629">
            <v>1</v>
          </cell>
          <cell r="DC629">
            <v>0</v>
          </cell>
          <cell r="DD629">
            <v>1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L629">
            <v>0</v>
          </cell>
          <cell r="DM629">
            <v>0</v>
          </cell>
          <cell r="DO629">
            <v>0</v>
          </cell>
          <cell r="DQ629">
            <v>0</v>
          </cell>
          <cell r="DW629">
            <v>0</v>
          </cell>
          <cell r="DX629">
            <v>0</v>
          </cell>
          <cell r="DY629">
            <v>0</v>
          </cell>
          <cell r="DZ629">
            <v>0</v>
          </cell>
          <cell r="EA629">
            <v>0</v>
          </cell>
          <cell r="EB629">
            <v>0</v>
          </cell>
          <cell r="EC629">
            <v>1</v>
          </cell>
        </row>
        <row r="630"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R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BA630">
            <v>0</v>
          </cell>
          <cell r="BB630">
            <v>0</v>
          </cell>
          <cell r="BH630">
            <v>0</v>
          </cell>
          <cell r="BI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U630">
            <v>0</v>
          </cell>
          <cell r="BV630">
            <v>0</v>
          </cell>
          <cell r="BW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N630">
            <v>0</v>
          </cell>
          <cell r="CO630">
            <v>0</v>
          </cell>
          <cell r="CP630">
            <v>0</v>
          </cell>
          <cell r="CS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B630">
            <v>0</v>
          </cell>
          <cell r="DC630">
            <v>1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L630">
            <v>0</v>
          </cell>
          <cell r="DM630">
            <v>0</v>
          </cell>
          <cell r="DO630">
            <v>0</v>
          </cell>
          <cell r="DQ630">
            <v>0</v>
          </cell>
          <cell r="DW630">
            <v>0</v>
          </cell>
          <cell r="DX630">
            <v>0</v>
          </cell>
          <cell r="DY630">
            <v>0</v>
          </cell>
          <cell r="DZ630">
            <v>0</v>
          </cell>
          <cell r="EA630">
            <v>0</v>
          </cell>
          <cell r="EB630">
            <v>0</v>
          </cell>
          <cell r="EC630">
            <v>0</v>
          </cell>
        </row>
        <row r="631"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R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BA631">
            <v>0</v>
          </cell>
          <cell r="BB631">
            <v>0</v>
          </cell>
          <cell r="BH631">
            <v>0</v>
          </cell>
          <cell r="BI631">
            <v>0</v>
          </cell>
          <cell r="BL631">
            <v>1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U631">
            <v>0</v>
          </cell>
          <cell r="BV631">
            <v>0</v>
          </cell>
          <cell r="BW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N631">
            <v>0</v>
          </cell>
          <cell r="CO631">
            <v>0</v>
          </cell>
          <cell r="CP631">
            <v>0</v>
          </cell>
          <cell r="CS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L631">
            <v>0</v>
          </cell>
          <cell r="DM631">
            <v>0</v>
          </cell>
          <cell r="DO631">
            <v>0</v>
          </cell>
          <cell r="DQ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</row>
        <row r="632"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R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BA632">
            <v>0</v>
          </cell>
          <cell r="BB632">
            <v>0</v>
          </cell>
          <cell r="BH632">
            <v>0</v>
          </cell>
          <cell r="BI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U632">
            <v>0</v>
          </cell>
          <cell r="BV632">
            <v>0</v>
          </cell>
          <cell r="BW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N632">
            <v>0</v>
          </cell>
          <cell r="CO632">
            <v>0</v>
          </cell>
          <cell r="CP632">
            <v>0</v>
          </cell>
          <cell r="CS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L632">
            <v>0</v>
          </cell>
          <cell r="DM632">
            <v>0</v>
          </cell>
          <cell r="DO632">
            <v>0</v>
          </cell>
          <cell r="DQ632">
            <v>0</v>
          </cell>
          <cell r="DW632">
            <v>0</v>
          </cell>
          <cell r="DX632">
            <v>0</v>
          </cell>
          <cell r="DY632">
            <v>0</v>
          </cell>
          <cell r="DZ632">
            <v>0</v>
          </cell>
          <cell r="EA632">
            <v>0</v>
          </cell>
          <cell r="EB632">
            <v>0</v>
          </cell>
          <cell r="EC632">
            <v>0</v>
          </cell>
        </row>
        <row r="633"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R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1</v>
          </cell>
          <cell r="AS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BA633">
            <v>0</v>
          </cell>
          <cell r="BB633">
            <v>0</v>
          </cell>
          <cell r="BH633">
            <v>0</v>
          </cell>
          <cell r="BI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U633">
            <v>0</v>
          </cell>
          <cell r="BV633">
            <v>0</v>
          </cell>
          <cell r="BW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N633">
            <v>0</v>
          </cell>
          <cell r="CO633">
            <v>0</v>
          </cell>
          <cell r="CP633">
            <v>0</v>
          </cell>
          <cell r="CS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L633">
            <v>0</v>
          </cell>
          <cell r="DM633">
            <v>0</v>
          </cell>
          <cell r="DO633">
            <v>0</v>
          </cell>
          <cell r="DQ633">
            <v>0</v>
          </cell>
          <cell r="DW633">
            <v>0</v>
          </cell>
          <cell r="DX633">
            <v>0</v>
          </cell>
          <cell r="DY633">
            <v>0</v>
          </cell>
          <cell r="DZ633">
            <v>0</v>
          </cell>
          <cell r="EA633">
            <v>0</v>
          </cell>
          <cell r="EB633">
            <v>0</v>
          </cell>
          <cell r="EC633">
            <v>0</v>
          </cell>
        </row>
        <row r="634"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R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BA634">
            <v>0</v>
          </cell>
          <cell r="BB634">
            <v>0</v>
          </cell>
          <cell r="BH634">
            <v>0</v>
          </cell>
          <cell r="BI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U634">
            <v>0</v>
          </cell>
          <cell r="BV634">
            <v>0</v>
          </cell>
          <cell r="BW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N634">
            <v>0</v>
          </cell>
          <cell r="CO634">
            <v>0</v>
          </cell>
          <cell r="CP634">
            <v>0</v>
          </cell>
          <cell r="CS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L634">
            <v>0</v>
          </cell>
          <cell r="DM634">
            <v>0</v>
          </cell>
          <cell r="DO634">
            <v>0</v>
          </cell>
          <cell r="DQ634">
            <v>0</v>
          </cell>
          <cell r="DW634">
            <v>0</v>
          </cell>
          <cell r="DX634">
            <v>0</v>
          </cell>
          <cell r="DY634">
            <v>0</v>
          </cell>
          <cell r="DZ634">
            <v>0</v>
          </cell>
          <cell r="EA634">
            <v>0</v>
          </cell>
          <cell r="EB634">
            <v>0</v>
          </cell>
          <cell r="EC634">
            <v>0</v>
          </cell>
        </row>
        <row r="635"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R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BA635">
            <v>0</v>
          </cell>
          <cell r="BB635">
            <v>0</v>
          </cell>
          <cell r="BH635">
            <v>0</v>
          </cell>
          <cell r="BI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U635">
            <v>0</v>
          </cell>
          <cell r="BV635">
            <v>0</v>
          </cell>
          <cell r="BW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H635">
            <v>1</v>
          </cell>
          <cell r="CI635">
            <v>0</v>
          </cell>
          <cell r="CJ635">
            <v>0</v>
          </cell>
          <cell r="CK635">
            <v>0</v>
          </cell>
          <cell r="CN635">
            <v>0</v>
          </cell>
          <cell r="CO635">
            <v>0</v>
          </cell>
          <cell r="CP635">
            <v>0</v>
          </cell>
          <cell r="CS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L635">
            <v>0</v>
          </cell>
          <cell r="DM635">
            <v>0</v>
          </cell>
          <cell r="DO635">
            <v>0</v>
          </cell>
          <cell r="DQ635">
            <v>0</v>
          </cell>
          <cell r="DW635">
            <v>0</v>
          </cell>
          <cell r="DX635">
            <v>0</v>
          </cell>
          <cell r="DY635">
            <v>0</v>
          </cell>
          <cell r="DZ635">
            <v>0</v>
          </cell>
          <cell r="EA635">
            <v>0</v>
          </cell>
          <cell r="EB635">
            <v>0</v>
          </cell>
          <cell r="EC635">
            <v>0</v>
          </cell>
        </row>
        <row r="636"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R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BA636">
            <v>0</v>
          </cell>
          <cell r="BB636">
            <v>0</v>
          </cell>
          <cell r="BH636">
            <v>0</v>
          </cell>
          <cell r="BI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U636">
            <v>0</v>
          </cell>
          <cell r="BV636">
            <v>0</v>
          </cell>
          <cell r="BW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N636">
            <v>0</v>
          </cell>
          <cell r="CO636">
            <v>0</v>
          </cell>
          <cell r="CP636">
            <v>0</v>
          </cell>
          <cell r="CS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L636">
            <v>0</v>
          </cell>
          <cell r="DM636">
            <v>0</v>
          </cell>
          <cell r="DO636">
            <v>0</v>
          </cell>
          <cell r="DQ636">
            <v>0</v>
          </cell>
          <cell r="DW636">
            <v>1</v>
          </cell>
          <cell r="DX636">
            <v>0</v>
          </cell>
          <cell r="DY636">
            <v>0</v>
          </cell>
          <cell r="DZ636">
            <v>0</v>
          </cell>
          <cell r="EA636">
            <v>0</v>
          </cell>
          <cell r="EB636">
            <v>0</v>
          </cell>
          <cell r="EC636">
            <v>0</v>
          </cell>
        </row>
        <row r="637"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R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BA637">
            <v>0</v>
          </cell>
          <cell r="BB637">
            <v>0</v>
          </cell>
          <cell r="BH637">
            <v>0</v>
          </cell>
          <cell r="BI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U637">
            <v>0</v>
          </cell>
          <cell r="BV637">
            <v>0</v>
          </cell>
          <cell r="BW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N637">
            <v>0</v>
          </cell>
          <cell r="CO637">
            <v>0</v>
          </cell>
          <cell r="CP637">
            <v>0</v>
          </cell>
          <cell r="CS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L637">
            <v>0</v>
          </cell>
          <cell r="DM637">
            <v>0</v>
          </cell>
          <cell r="DO637">
            <v>0</v>
          </cell>
          <cell r="DQ637">
            <v>0</v>
          </cell>
          <cell r="DW637">
            <v>1</v>
          </cell>
          <cell r="DX637">
            <v>0</v>
          </cell>
          <cell r="DY637">
            <v>0</v>
          </cell>
          <cell r="DZ637">
            <v>0</v>
          </cell>
          <cell r="EA637">
            <v>0</v>
          </cell>
          <cell r="EB637">
            <v>0</v>
          </cell>
          <cell r="EC637">
            <v>0</v>
          </cell>
        </row>
        <row r="638"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R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BA638">
            <v>0</v>
          </cell>
          <cell r="BB638">
            <v>0</v>
          </cell>
          <cell r="BH638">
            <v>0</v>
          </cell>
          <cell r="BI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U638">
            <v>0</v>
          </cell>
          <cell r="BV638">
            <v>0</v>
          </cell>
          <cell r="BW638">
            <v>1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N638">
            <v>0</v>
          </cell>
          <cell r="CO638">
            <v>0</v>
          </cell>
          <cell r="CP638">
            <v>0</v>
          </cell>
          <cell r="CS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L638">
            <v>0</v>
          </cell>
          <cell r="DM638">
            <v>0</v>
          </cell>
          <cell r="DO638">
            <v>0</v>
          </cell>
          <cell r="DQ638">
            <v>0</v>
          </cell>
          <cell r="DW638">
            <v>0</v>
          </cell>
          <cell r="DX638">
            <v>0</v>
          </cell>
          <cell r="DY638">
            <v>0</v>
          </cell>
          <cell r="DZ638">
            <v>0</v>
          </cell>
          <cell r="EA638">
            <v>0</v>
          </cell>
          <cell r="EB638">
            <v>0</v>
          </cell>
          <cell r="EC638">
            <v>0</v>
          </cell>
        </row>
        <row r="639"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R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BA639">
            <v>0</v>
          </cell>
          <cell r="BB639">
            <v>0</v>
          </cell>
          <cell r="BH639">
            <v>0</v>
          </cell>
          <cell r="BI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U639">
            <v>0</v>
          </cell>
          <cell r="BV639">
            <v>0</v>
          </cell>
          <cell r="BW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1</v>
          </cell>
          <cell r="CE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N639">
            <v>0</v>
          </cell>
          <cell r="CO639">
            <v>0</v>
          </cell>
          <cell r="CP639">
            <v>0</v>
          </cell>
          <cell r="CS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H639">
            <v>0</v>
          </cell>
          <cell r="DL639">
            <v>0</v>
          </cell>
          <cell r="DM639">
            <v>0</v>
          </cell>
          <cell r="DO639">
            <v>0</v>
          </cell>
          <cell r="DQ639">
            <v>0</v>
          </cell>
          <cell r="DW639">
            <v>0</v>
          </cell>
          <cell r="DX639">
            <v>0</v>
          </cell>
          <cell r="DY639">
            <v>0</v>
          </cell>
          <cell r="DZ639">
            <v>0</v>
          </cell>
          <cell r="EA639">
            <v>0</v>
          </cell>
          <cell r="EB639">
            <v>0</v>
          </cell>
          <cell r="EC639">
            <v>0</v>
          </cell>
        </row>
        <row r="640"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R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BA640">
            <v>0</v>
          </cell>
          <cell r="BB640">
            <v>0</v>
          </cell>
          <cell r="BH640">
            <v>0</v>
          </cell>
          <cell r="BI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U640">
            <v>0</v>
          </cell>
          <cell r="BV640">
            <v>0</v>
          </cell>
          <cell r="BW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N640">
            <v>0</v>
          </cell>
          <cell r="CO640">
            <v>0</v>
          </cell>
          <cell r="CP640">
            <v>0</v>
          </cell>
          <cell r="CS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H640">
            <v>0</v>
          </cell>
          <cell r="DL640">
            <v>0</v>
          </cell>
          <cell r="DM640">
            <v>0</v>
          </cell>
          <cell r="DO640">
            <v>0</v>
          </cell>
          <cell r="DQ640">
            <v>0</v>
          </cell>
          <cell r="DW640">
            <v>0</v>
          </cell>
          <cell r="DX640">
            <v>0</v>
          </cell>
          <cell r="DY640">
            <v>0</v>
          </cell>
          <cell r="DZ640">
            <v>0</v>
          </cell>
          <cell r="EA640">
            <v>0</v>
          </cell>
          <cell r="EB640">
            <v>0</v>
          </cell>
          <cell r="EC640">
            <v>0</v>
          </cell>
        </row>
        <row r="641"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R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BA641">
            <v>0</v>
          </cell>
          <cell r="BB641">
            <v>0</v>
          </cell>
          <cell r="BH641">
            <v>0</v>
          </cell>
          <cell r="BI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U641">
            <v>0</v>
          </cell>
          <cell r="BV641">
            <v>0</v>
          </cell>
          <cell r="BW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N641">
            <v>0</v>
          </cell>
          <cell r="CO641">
            <v>0</v>
          </cell>
          <cell r="CP641">
            <v>0</v>
          </cell>
          <cell r="CS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H641">
            <v>0</v>
          </cell>
          <cell r="DL641">
            <v>0</v>
          </cell>
          <cell r="DM641">
            <v>0</v>
          </cell>
          <cell r="DO641">
            <v>0</v>
          </cell>
          <cell r="DQ641">
            <v>0</v>
          </cell>
          <cell r="DW641">
            <v>0</v>
          </cell>
          <cell r="DX641">
            <v>0</v>
          </cell>
          <cell r="DY641">
            <v>0</v>
          </cell>
          <cell r="DZ641">
            <v>0</v>
          </cell>
          <cell r="EA641">
            <v>0</v>
          </cell>
          <cell r="EB641">
            <v>0</v>
          </cell>
          <cell r="EC641">
            <v>0</v>
          </cell>
        </row>
        <row r="642"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R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BA642">
            <v>0</v>
          </cell>
          <cell r="BB642">
            <v>0</v>
          </cell>
          <cell r="BH642">
            <v>0</v>
          </cell>
          <cell r="BI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U642">
            <v>0</v>
          </cell>
          <cell r="BV642">
            <v>0</v>
          </cell>
          <cell r="BW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N642">
            <v>0</v>
          </cell>
          <cell r="CO642">
            <v>0</v>
          </cell>
          <cell r="CP642">
            <v>0</v>
          </cell>
          <cell r="CS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H642">
            <v>0</v>
          </cell>
          <cell r="DL642">
            <v>0</v>
          </cell>
          <cell r="DM642">
            <v>0</v>
          </cell>
          <cell r="DO642">
            <v>0</v>
          </cell>
          <cell r="DQ642">
            <v>0</v>
          </cell>
          <cell r="DW642">
            <v>0</v>
          </cell>
          <cell r="DX642">
            <v>0</v>
          </cell>
          <cell r="DY642">
            <v>0</v>
          </cell>
          <cell r="DZ642">
            <v>0</v>
          </cell>
          <cell r="EA642">
            <v>0</v>
          </cell>
          <cell r="EB642">
            <v>0</v>
          </cell>
          <cell r="EC642">
            <v>0</v>
          </cell>
        </row>
        <row r="643"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R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BA643">
            <v>0</v>
          </cell>
          <cell r="BB643">
            <v>0</v>
          </cell>
          <cell r="BH643">
            <v>0</v>
          </cell>
          <cell r="BI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U643">
            <v>0</v>
          </cell>
          <cell r="BV643">
            <v>0</v>
          </cell>
          <cell r="BW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N643">
            <v>0</v>
          </cell>
          <cell r="CO643">
            <v>0</v>
          </cell>
          <cell r="CP643">
            <v>0</v>
          </cell>
          <cell r="CS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L643">
            <v>0</v>
          </cell>
          <cell r="DM643">
            <v>0</v>
          </cell>
          <cell r="DO643">
            <v>0</v>
          </cell>
          <cell r="DQ643">
            <v>0</v>
          </cell>
          <cell r="DW643">
            <v>0</v>
          </cell>
          <cell r="DX643">
            <v>0</v>
          </cell>
          <cell r="DY643">
            <v>0</v>
          </cell>
          <cell r="DZ643">
            <v>0</v>
          </cell>
          <cell r="EA643">
            <v>0</v>
          </cell>
          <cell r="EB643">
            <v>0</v>
          </cell>
          <cell r="EC643">
            <v>0</v>
          </cell>
        </row>
        <row r="644"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R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BA644">
            <v>0</v>
          </cell>
          <cell r="BB644">
            <v>0</v>
          </cell>
          <cell r="BH644">
            <v>0</v>
          </cell>
          <cell r="BI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U644">
            <v>0</v>
          </cell>
          <cell r="BV644">
            <v>0</v>
          </cell>
          <cell r="BW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N644">
            <v>0</v>
          </cell>
          <cell r="CO644">
            <v>0</v>
          </cell>
          <cell r="CP644">
            <v>0</v>
          </cell>
          <cell r="CS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L644">
            <v>0</v>
          </cell>
          <cell r="DM644">
            <v>0</v>
          </cell>
          <cell r="DO644">
            <v>0</v>
          </cell>
          <cell r="DQ644">
            <v>0</v>
          </cell>
          <cell r="DW644">
            <v>0</v>
          </cell>
          <cell r="DX644">
            <v>0</v>
          </cell>
          <cell r="DY644">
            <v>0</v>
          </cell>
          <cell r="DZ644">
            <v>0</v>
          </cell>
          <cell r="EA644">
            <v>0</v>
          </cell>
          <cell r="EB644">
            <v>0</v>
          </cell>
          <cell r="EC644">
            <v>0</v>
          </cell>
        </row>
        <row r="645"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R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BA645">
            <v>0</v>
          </cell>
          <cell r="BB645">
            <v>0</v>
          </cell>
          <cell r="BH645">
            <v>0</v>
          </cell>
          <cell r="BI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U645">
            <v>0</v>
          </cell>
          <cell r="BV645">
            <v>0</v>
          </cell>
          <cell r="BW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N645">
            <v>0</v>
          </cell>
          <cell r="CO645">
            <v>0</v>
          </cell>
          <cell r="CP645">
            <v>0</v>
          </cell>
          <cell r="CS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H645">
            <v>0</v>
          </cell>
          <cell r="DL645">
            <v>0</v>
          </cell>
          <cell r="DM645">
            <v>0</v>
          </cell>
          <cell r="DO645">
            <v>0</v>
          </cell>
          <cell r="DQ645">
            <v>0</v>
          </cell>
          <cell r="DW645">
            <v>0</v>
          </cell>
          <cell r="DX645">
            <v>0</v>
          </cell>
          <cell r="DY645">
            <v>0</v>
          </cell>
          <cell r="DZ645">
            <v>0</v>
          </cell>
          <cell r="EA645">
            <v>0</v>
          </cell>
          <cell r="EB645">
            <v>0</v>
          </cell>
          <cell r="EC645">
            <v>0</v>
          </cell>
        </row>
        <row r="646"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R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BA646">
            <v>0</v>
          </cell>
          <cell r="BB646">
            <v>0</v>
          </cell>
          <cell r="BH646">
            <v>0</v>
          </cell>
          <cell r="BI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U646">
            <v>0</v>
          </cell>
          <cell r="BV646">
            <v>0</v>
          </cell>
          <cell r="BW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N646">
            <v>0</v>
          </cell>
          <cell r="CO646">
            <v>0</v>
          </cell>
          <cell r="CP646">
            <v>0</v>
          </cell>
          <cell r="CS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H646">
            <v>0</v>
          </cell>
          <cell r="DL646">
            <v>0</v>
          </cell>
          <cell r="DM646">
            <v>0</v>
          </cell>
          <cell r="DO646">
            <v>0</v>
          </cell>
          <cell r="DQ646">
            <v>0</v>
          </cell>
          <cell r="DW646">
            <v>0</v>
          </cell>
          <cell r="DX646">
            <v>0</v>
          </cell>
          <cell r="DY646">
            <v>0</v>
          </cell>
          <cell r="DZ646">
            <v>0</v>
          </cell>
          <cell r="EA646">
            <v>0</v>
          </cell>
          <cell r="EB646">
            <v>0</v>
          </cell>
          <cell r="EC646">
            <v>0</v>
          </cell>
        </row>
        <row r="647"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R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BA647">
            <v>0</v>
          </cell>
          <cell r="BB647">
            <v>0</v>
          </cell>
          <cell r="BH647">
            <v>0</v>
          </cell>
          <cell r="BI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U647">
            <v>0</v>
          </cell>
          <cell r="BV647">
            <v>0</v>
          </cell>
          <cell r="BW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N647">
            <v>0</v>
          </cell>
          <cell r="CO647">
            <v>0</v>
          </cell>
          <cell r="CP647">
            <v>0</v>
          </cell>
          <cell r="CS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  <cell r="DH647">
            <v>0</v>
          </cell>
          <cell r="DL647">
            <v>0</v>
          </cell>
          <cell r="DM647">
            <v>0</v>
          </cell>
          <cell r="DO647">
            <v>0</v>
          </cell>
          <cell r="DQ647">
            <v>0</v>
          </cell>
          <cell r="DW647">
            <v>0</v>
          </cell>
          <cell r="DX647">
            <v>0</v>
          </cell>
          <cell r="DY647">
            <v>1</v>
          </cell>
          <cell r="DZ647">
            <v>0</v>
          </cell>
          <cell r="EA647">
            <v>0</v>
          </cell>
          <cell r="EB647">
            <v>0</v>
          </cell>
          <cell r="EC647">
            <v>0</v>
          </cell>
        </row>
        <row r="648"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R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BA648">
            <v>0</v>
          </cell>
          <cell r="BB648">
            <v>0</v>
          </cell>
          <cell r="BH648">
            <v>0</v>
          </cell>
          <cell r="BI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U648">
            <v>0</v>
          </cell>
          <cell r="BV648">
            <v>0</v>
          </cell>
          <cell r="BW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N648">
            <v>0</v>
          </cell>
          <cell r="CO648">
            <v>0</v>
          </cell>
          <cell r="CP648">
            <v>0</v>
          </cell>
          <cell r="CS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L648">
            <v>0</v>
          </cell>
          <cell r="DM648">
            <v>0</v>
          </cell>
          <cell r="DO648">
            <v>0</v>
          </cell>
          <cell r="DQ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1</v>
          </cell>
          <cell r="EA648">
            <v>0</v>
          </cell>
          <cell r="EB648">
            <v>0</v>
          </cell>
          <cell r="EC648">
            <v>0</v>
          </cell>
        </row>
        <row r="649"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R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BA649">
            <v>0</v>
          </cell>
          <cell r="BB649">
            <v>0</v>
          </cell>
          <cell r="BH649">
            <v>0</v>
          </cell>
          <cell r="BI649">
            <v>1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U649">
            <v>0</v>
          </cell>
          <cell r="BV649">
            <v>0</v>
          </cell>
          <cell r="BW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N649">
            <v>0</v>
          </cell>
          <cell r="CO649">
            <v>0</v>
          </cell>
          <cell r="CP649">
            <v>0</v>
          </cell>
          <cell r="CS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H649">
            <v>0</v>
          </cell>
          <cell r="DL649">
            <v>0</v>
          </cell>
          <cell r="DM649">
            <v>0</v>
          </cell>
          <cell r="DO649">
            <v>0</v>
          </cell>
          <cell r="DQ649">
            <v>0</v>
          </cell>
          <cell r="DW649">
            <v>0</v>
          </cell>
          <cell r="DX649">
            <v>0</v>
          </cell>
          <cell r="DY649">
            <v>0</v>
          </cell>
          <cell r="DZ649">
            <v>0</v>
          </cell>
          <cell r="EA649">
            <v>0</v>
          </cell>
          <cell r="EB649">
            <v>0</v>
          </cell>
          <cell r="EC649">
            <v>0</v>
          </cell>
        </row>
        <row r="650"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R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BA650">
            <v>0</v>
          </cell>
          <cell r="BB650">
            <v>0</v>
          </cell>
          <cell r="BH650">
            <v>1</v>
          </cell>
          <cell r="BI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U650">
            <v>0</v>
          </cell>
          <cell r="BV650">
            <v>0</v>
          </cell>
          <cell r="BW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N650">
            <v>0</v>
          </cell>
          <cell r="CO650">
            <v>0</v>
          </cell>
          <cell r="CP650">
            <v>0</v>
          </cell>
          <cell r="CS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H650">
            <v>0</v>
          </cell>
          <cell r="DL650">
            <v>0</v>
          </cell>
          <cell r="DM650">
            <v>0</v>
          </cell>
          <cell r="DO650">
            <v>0</v>
          </cell>
          <cell r="DQ650">
            <v>0</v>
          </cell>
          <cell r="DW650">
            <v>0</v>
          </cell>
          <cell r="DX650">
            <v>0</v>
          </cell>
          <cell r="DY650">
            <v>0</v>
          </cell>
          <cell r="DZ650">
            <v>0</v>
          </cell>
          <cell r="EA650">
            <v>0</v>
          </cell>
          <cell r="EB650">
            <v>0</v>
          </cell>
          <cell r="EC650">
            <v>0</v>
          </cell>
        </row>
        <row r="651"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R651">
            <v>0</v>
          </cell>
          <cell r="V651">
            <v>0</v>
          </cell>
          <cell r="W651">
            <v>1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BA651">
            <v>0</v>
          </cell>
          <cell r="BB651">
            <v>0</v>
          </cell>
          <cell r="BH651">
            <v>0</v>
          </cell>
          <cell r="BI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U651">
            <v>0</v>
          </cell>
          <cell r="BV651">
            <v>0</v>
          </cell>
          <cell r="BW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N651">
            <v>0</v>
          </cell>
          <cell r="CO651">
            <v>0</v>
          </cell>
          <cell r="CP651">
            <v>0</v>
          </cell>
          <cell r="CS651">
            <v>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H651">
            <v>0</v>
          </cell>
          <cell r="DL651">
            <v>0</v>
          </cell>
          <cell r="DM651">
            <v>0</v>
          </cell>
          <cell r="DO651">
            <v>0</v>
          </cell>
          <cell r="DQ651">
            <v>1</v>
          </cell>
          <cell r="DW651">
            <v>0</v>
          </cell>
          <cell r="DX651">
            <v>0</v>
          </cell>
          <cell r="DY651">
            <v>0</v>
          </cell>
          <cell r="DZ651">
            <v>0</v>
          </cell>
          <cell r="EA651">
            <v>0</v>
          </cell>
          <cell r="EB651">
            <v>0</v>
          </cell>
          <cell r="EC651">
            <v>0</v>
          </cell>
        </row>
        <row r="652"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R652">
            <v>0</v>
          </cell>
          <cell r="V652">
            <v>0</v>
          </cell>
          <cell r="W652">
            <v>1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BA652">
            <v>0</v>
          </cell>
          <cell r="BB652">
            <v>0</v>
          </cell>
          <cell r="BH652">
            <v>0</v>
          </cell>
          <cell r="BI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U652">
            <v>0</v>
          </cell>
          <cell r="BV652">
            <v>0</v>
          </cell>
          <cell r="BW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N652">
            <v>0</v>
          </cell>
          <cell r="CO652">
            <v>0</v>
          </cell>
          <cell r="CP652">
            <v>0</v>
          </cell>
          <cell r="CS652">
            <v>0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H652">
            <v>0</v>
          </cell>
          <cell r="DL652">
            <v>0</v>
          </cell>
          <cell r="DM652">
            <v>0</v>
          </cell>
          <cell r="DO652">
            <v>0</v>
          </cell>
          <cell r="DQ652">
            <v>1</v>
          </cell>
          <cell r="DW652">
            <v>0</v>
          </cell>
          <cell r="DX652">
            <v>0</v>
          </cell>
          <cell r="DY652">
            <v>0</v>
          </cell>
          <cell r="DZ652">
            <v>0</v>
          </cell>
          <cell r="EA652">
            <v>0</v>
          </cell>
          <cell r="EB652">
            <v>0</v>
          </cell>
          <cell r="EC652">
            <v>0</v>
          </cell>
        </row>
        <row r="653"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R653">
            <v>0</v>
          </cell>
          <cell r="V653">
            <v>0</v>
          </cell>
          <cell r="W653">
            <v>1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BA653">
            <v>0</v>
          </cell>
          <cell r="BB653">
            <v>0</v>
          </cell>
          <cell r="BH653">
            <v>0</v>
          </cell>
          <cell r="BI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U653">
            <v>0</v>
          </cell>
          <cell r="BV653">
            <v>0</v>
          </cell>
          <cell r="BW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N653">
            <v>0</v>
          </cell>
          <cell r="CO653">
            <v>0</v>
          </cell>
          <cell r="CP653">
            <v>0</v>
          </cell>
          <cell r="CS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L653">
            <v>0</v>
          </cell>
          <cell r="DM653">
            <v>0</v>
          </cell>
          <cell r="DO653">
            <v>0</v>
          </cell>
          <cell r="DQ653">
            <v>1</v>
          </cell>
          <cell r="DW653">
            <v>0</v>
          </cell>
          <cell r="DX653">
            <v>0</v>
          </cell>
          <cell r="DY653">
            <v>0</v>
          </cell>
          <cell r="DZ653">
            <v>0</v>
          </cell>
          <cell r="EA653">
            <v>0</v>
          </cell>
          <cell r="EB653">
            <v>0</v>
          </cell>
          <cell r="EC653">
            <v>0</v>
          </cell>
        </row>
        <row r="654"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R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BA654">
            <v>0</v>
          </cell>
          <cell r="BB654">
            <v>0</v>
          </cell>
          <cell r="BH654">
            <v>0</v>
          </cell>
          <cell r="BI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U654">
            <v>0</v>
          </cell>
          <cell r="BV654">
            <v>0</v>
          </cell>
          <cell r="BW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N654">
            <v>0</v>
          </cell>
          <cell r="CO654">
            <v>0</v>
          </cell>
          <cell r="CP654">
            <v>0</v>
          </cell>
          <cell r="CS654">
            <v>0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H654">
            <v>0</v>
          </cell>
          <cell r="DL654">
            <v>0</v>
          </cell>
          <cell r="DM654">
            <v>0</v>
          </cell>
          <cell r="DO654">
            <v>0</v>
          </cell>
          <cell r="DQ654">
            <v>0</v>
          </cell>
          <cell r="DW654">
            <v>0</v>
          </cell>
          <cell r="DX654">
            <v>0</v>
          </cell>
          <cell r="DY654">
            <v>0</v>
          </cell>
          <cell r="DZ654">
            <v>0</v>
          </cell>
          <cell r="EA654">
            <v>0</v>
          </cell>
          <cell r="EB654">
            <v>0</v>
          </cell>
          <cell r="EC654">
            <v>0</v>
          </cell>
        </row>
        <row r="655"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R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BA655">
            <v>0</v>
          </cell>
          <cell r="BB655">
            <v>0</v>
          </cell>
          <cell r="BH655">
            <v>0</v>
          </cell>
          <cell r="BI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U655">
            <v>0</v>
          </cell>
          <cell r="BV655">
            <v>0</v>
          </cell>
          <cell r="BW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N655">
            <v>0</v>
          </cell>
          <cell r="CO655">
            <v>0</v>
          </cell>
          <cell r="CP655">
            <v>0</v>
          </cell>
          <cell r="CS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L655">
            <v>0</v>
          </cell>
          <cell r="DM655">
            <v>0</v>
          </cell>
          <cell r="DO655">
            <v>0</v>
          </cell>
          <cell r="DQ655">
            <v>0</v>
          </cell>
          <cell r="DW655">
            <v>0</v>
          </cell>
          <cell r="DX655">
            <v>0</v>
          </cell>
          <cell r="DY655">
            <v>0</v>
          </cell>
          <cell r="DZ655">
            <v>0</v>
          </cell>
          <cell r="EA655">
            <v>0</v>
          </cell>
          <cell r="EB655">
            <v>0</v>
          </cell>
          <cell r="EC655">
            <v>0</v>
          </cell>
        </row>
        <row r="656"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R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BA656">
            <v>0</v>
          </cell>
          <cell r="BB656">
            <v>0</v>
          </cell>
          <cell r="BH656">
            <v>0</v>
          </cell>
          <cell r="BI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U656">
            <v>0</v>
          </cell>
          <cell r="BV656">
            <v>0</v>
          </cell>
          <cell r="BW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N656">
            <v>0</v>
          </cell>
          <cell r="CO656">
            <v>0</v>
          </cell>
          <cell r="CP656">
            <v>0</v>
          </cell>
          <cell r="CS656">
            <v>0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L656">
            <v>0</v>
          </cell>
          <cell r="DM656">
            <v>0</v>
          </cell>
          <cell r="DO656">
            <v>0</v>
          </cell>
          <cell r="DQ656">
            <v>0</v>
          </cell>
          <cell r="DW656">
            <v>0</v>
          </cell>
          <cell r="DX656">
            <v>0</v>
          </cell>
          <cell r="DY656">
            <v>0</v>
          </cell>
          <cell r="DZ656">
            <v>0</v>
          </cell>
          <cell r="EA656">
            <v>0</v>
          </cell>
          <cell r="EB656">
            <v>0</v>
          </cell>
          <cell r="EC656">
            <v>0</v>
          </cell>
        </row>
        <row r="657">
          <cell r="D657">
            <v>0</v>
          </cell>
          <cell r="E657">
            <v>1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R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BA657">
            <v>0</v>
          </cell>
          <cell r="BB657">
            <v>0</v>
          </cell>
          <cell r="BH657">
            <v>0</v>
          </cell>
          <cell r="BI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U657">
            <v>0</v>
          </cell>
          <cell r="BV657">
            <v>0</v>
          </cell>
          <cell r="BW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N657">
            <v>0</v>
          </cell>
          <cell r="CO657">
            <v>0</v>
          </cell>
          <cell r="CP657">
            <v>0</v>
          </cell>
          <cell r="CS657">
            <v>0</v>
          </cell>
          <cell r="CU657">
            <v>0</v>
          </cell>
          <cell r="CV657">
            <v>0</v>
          </cell>
          <cell r="CW657">
            <v>0</v>
          </cell>
          <cell r="CX657">
            <v>0</v>
          </cell>
          <cell r="CY657">
            <v>0</v>
          </cell>
          <cell r="CZ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H657">
            <v>0</v>
          </cell>
          <cell r="DL657">
            <v>0</v>
          </cell>
          <cell r="DM657">
            <v>0</v>
          </cell>
          <cell r="DO657">
            <v>0</v>
          </cell>
          <cell r="DQ657">
            <v>0</v>
          </cell>
          <cell r="DW657">
            <v>0</v>
          </cell>
          <cell r="DX657">
            <v>0</v>
          </cell>
          <cell r="DY657">
            <v>0</v>
          </cell>
          <cell r="DZ657">
            <v>0</v>
          </cell>
          <cell r="EA657">
            <v>0</v>
          </cell>
          <cell r="EB657">
            <v>0</v>
          </cell>
          <cell r="EC657">
            <v>0</v>
          </cell>
        </row>
        <row r="658">
          <cell r="D658">
            <v>0</v>
          </cell>
          <cell r="E658">
            <v>0</v>
          </cell>
          <cell r="F658">
            <v>1</v>
          </cell>
          <cell r="G658">
            <v>0</v>
          </cell>
          <cell r="H658">
            <v>0</v>
          </cell>
          <cell r="I658">
            <v>1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R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BA658">
            <v>0</v>
          </cell>
          <cell r="BB658">
            <v>0</v>
          </cell>
          <cell r="BH658">
            <v>0</v>
          </cell>
          <cell r="BI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U658">
            <v>0</v>
          </cell>
          <cell r="BV658">
            <v>0</v>
          </cell>
          <cell r="BW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N658">
            <v>0</v>
          </cell>
          <cell r="CO658">
            <v>0</v>
          </cell>
          <cell r="CP658">
            <v>0</v>
          </cell>
          <cell r="CS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L658">
            <v>0</v>
          </cell>
          <cell r="DM658">
            <v>0</v>
          </cell>
          <cell r="DO658">
            <v>0</v>
          </cell>
          <cell r="DQ658">
            <v>0</v>
          </cell>
          <cell r="DW658">
            <v>0</v>
          </cell>
          <cell r="DX658">
            <v>0</v>
          </cell>
          <cell r="DY658">
            <v>0</v>
          </cell>
          <cell r="DZ658">
            <v>0</v>
          </cell>
          <cell r="EA658">
            <v>0</v>
          </cell>
          <cell r="EB658">
            <v>0</v>
          </cell>
          <cell r="EC658">
            <v>0</v>
          </cell>
        </row>
        <row r="659"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K659">
            <v>0</v>
          </cell>
          <cell r="L659">
            <v>0</v>
          </cell>
          <cell r="M659">
            <v>1</v>
          </cell>
          <cell r="N659">
            <v>0</v>
          </cell>
          <cell r="R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BA659">
            <v>0</v>
          </cell>
          <cell r="BB659">
            <v>0</v>
          </cell>
          <cell r="BH659">
            <v>0</v>
          </cell>
          <cell r="BI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U659">
            <v>0</v>
          </cell>
          <cell r="BV659">
            <v>0</v>
          </cell>
          <cell r="BW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N659">
            <v>0</v>
          </cell>
          <cell r="CO659">
            <v>0</v>
          </cell>
          <cell r="CP659">
            <v>0</v>
          </cell>
          <cell r="CS659">
            <v>0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L659">
            <v>0</v>
          </cell>
          <cell r="DM659">
            <v>0</v>
          </cell>
          <cell r="DO659">
            <v>0</v>
          </cell>
          <cell r="DQ659">
            <v>0</v>
          </cell>
          <cell r="DW659">
            <v>0</v>
          </cell>
          <cell r="DX659">
            <v>0</v>
          </cell>
          <cell r="DY659">
            <v>0</v>
          </cell>
          <cell r="DZ659">
            <v>0</v>
          </cell>
          <cell r="EA659">
            <v>0</v>
          </cell>
          <cell r="EB659">
            <v>0</v>
          </cell>
          <cell r="EC659">
            <v>0</v>
          </cell>
        </row>
        <row r="660"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1</v>
          </cell>
          <cell r="I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R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BA660">
            <v>0</v>
          </cell>
          <cell r="BB660">
            <v>0</v>
          </cell>
          <cell r="BH660">
            <v>0</v>
          </cell>
          <cell r="BI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U660">
            <v>0</v>
          </cell>
          <cell r="BV660">
            <v>0</v>
          </cell>
          <cell r="BW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N660">
            <v>0</v>
          </cell>
          <cell r="CO660">
            <v>0</v>
          </cell>
          <cell r="CP660">
            <v>0</v>
          </cell>
          <cell r="CS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L660">
            <v>0</v>
          </cell>
          <cell r="DM660">
            <v>0</v>
          </cell>
          <cell r="DO660">
            <v>0</v>
          </cell>
          <cell r="DQ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</row>
        <row r="661"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K661">
            <v>0</v>
          </cell>
          <cell r="L661">
            <v>1</v>
          </cell>
          <cell r="M661">
            <v>0</v>
          </cell>
          <cell r="N661">
            <v>0</v>
          </cell>
          <cell r="R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BA661">
            <v>0</v>
          </cell>
          <cell r="BB661">
            <v>0</v>
          </cell>
          <cell r="BH661">
            <v>0</v>
          </cell>
          <cell r="BI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U661">
            <v>0</v>
          </cell>
          <cell r="BV661">
            <v>0</v>
          </cell>
          <cell r="BW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N661">
            <v>0</v>
          </cell>
          <cell r="CO661">
            <v>0</v>
          </cell>
          <cell r="CP661">
            <v>0</v>
          </cell>
          <cell r="CS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CZ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H661">
            <v>0</v>
          </cell>
          <cell r="DL661">
            <v>0</v>
          </cell>
          <cell r="DM661">
            <v>0</v>
          </cell>
          <cell r="DO661">
            <v>0</v>
          </cell>
          <cell r="DQ661">
            <v>0</v>
          </cell>
          <cell r="DW661">
            <v>0</v>
          </cell>
          <cell r="DX661">
            <v>0</v>
          </cell>
          <cell r="DY661">
            <v>0</v>
          </cell>
          <cell r="DZ661">
            <v>0</v>
          </cell>
          <cell r="EA661">
            <v>0</v>
          </cell>
          <cell r="EB661">
            <v>0</v>
          </cell>
          <cell r="EC661">
            <v>0</v>
          </cell>
        </row>
        <row r="662">
          <cell r="D662">
            <v>1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R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BA662">
            <v>0</v>
          </cell>
          <cell r="BB662">
            <v>0</v>
          </cell>
          <cell r="BH662">
            <v>0</v>
          </cell>
          <cell r="BI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U662">
            <v>0</v>
          </cell>
          <cell r="BV662">
            <v>0</v>
          </cell>
          <cell r="BW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N662">
            <v>0</v>
          </cell>
          <cell r="CO662">
            <v>0</v>
          </cell>
          <cell r="CP662">
            <v>0</v>
          </cell>
          <cell r="CS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H662">
            <v>0</v>
          </cell>
          <cell r="DL662">
            <v>0</v>
          </cell>
          <cell r="DM662">
            <v>0</v>
          </cell>
          <cell r="DO662">
            <v>0</v>
          </cell>
          <cell r="DQ662">
            <v>0</v>
          </cell>
          <cell r="DW662">
            <v>0</v>
          </cell>
          <cell r="DX662">
            <v>0</v>
          </cell>
          <cell r="DY662">
            <v>0</v>
          </cell>
          <cell r="DZ662">
            <v>0</v>
          </cell>
          <cell r="EA662">
            <v>0</v>
          </cell>
          <cell r="EB662">
            <v>0</v>
          </cell>
          <cell r="EC662">
            <v>0</v>
          </cell>
        </row>
        <row r="663"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R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E663">
            <v>1</v>
          </cell>
          <cell r="AF663">
            <v>1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BA663">
            <v>0</v>
          </cell>
          <cell r="BB663">
            <v>0</v>
          </cell>
          <cell r="BH663">
            <v>0</v>
          </cell>
          <cell r="BI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U663">
            <v>0</v>
          </cell>
          <cell r="BV663">
            <v>0</v>
          </cell>
          <cell r="BW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N663">
            <v>0</v>
          </cell>
          <cell r="CO663">
            <v>0</v>
          </cell>
          <cell r="CP663">
            <v>0</v>
          </cell>
          <cell r="CS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H663">
            <v>0</v>
          </cell>
          <cell r="DL663">
            <v>0</v>
          </cell>
          <cell r="DM663">
            <v>0</v>
          </cell>
          <cell r="DO663">
            <v>0</v>
          </cell>
          <cell r="DQ663">
            <v>0</v>
          </cell>
          <cell r="DW663">
            <v>0</v>
          </cell>
          <cell r="DX663">
            <v>0</v>
          </cell>
          <cell r="DY663">
            <v>0</v>
          </cell>
          <cell r="DZ663">
            <v>0</v>
          </cell>
          <cell r="EA663">
            <v>0</v>
          </cell>
          <cell r="EB663">
            <v>0</v>
          </cell>
          <cell r="EC663">
            <v>0</v>
          </cell>
        </row>
        <row r="664"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R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BA664">
            <v>0</v>
          </cell>
          <cell r="BB664">
            <v>0</v>
          </cell>
          <cell r="BH664">
            <v>0</v>
          </cell>
          <cell r="BI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U664">
            <v>0</v>
          </cell>
          <cell r="BV664">
            <v>0</v>
          </cell>
          <cell r="BW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N664">
            <v>0</v>
          </cell>
          <cell r="CO664">
            <v>0</v>
          </cell>
          <cell r="CP664">
            <v>0</v>
          </cell>
          <cell r="CS664">
            <v>0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H664">
            <v>0</v>
          </cell>
          <cell r="DL664">
            <v>0</v>
          </cell>
          <cell r="DM664">
            <v>0</v>
          </cell>
          <cell r="DO664">
            <v>0</v>
          </cell>
          <cell r="DQ664">
            <v>0</v>
          </cell>
          <cell r="DW664">
            <v>0</v>
          </cell>
          <cell r="DX664">
            <v>0</v>
          </cell>
          <cell r="DY664">
            <v>0</v>
          </cell>
          <cell r="DZ664">
            <v>0</v>
          </cell>
          <cell r="EA664">
            <v>0</v>
          </cell>
          <cell r="EB664">
            <v>0</v>
          </cell>
          <cell r="EC664">
            <v>0</v>
          </cell>
        </row>
        <row r="665">
          <cell r="D665">
            <v>1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R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BA665">
            <v>0</v>
          </cell>
          <cell r="BB665">
            <v>0</v>
          </cell>
          <cell r="BH665">
            <v>0</v>
          </cell>
          <cell r="BI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U665">
            <v>0</v>
          </cell>
          <cell r="BV665">
            <v>0</v>
          </cell>
          <cell r="BW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N665">
            <v>0</v>
          </cell>
          <cell r="CO665">
            <v>0</v>
          </cell>
          <cell r="CP665">
            <v>0</v>
          </cell>
          <cell r="CS665">
            <v>0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H665">
            <v>0</v>
          </cell>
          <cell r="DL665">
            <v>0</v>
          </cell>
          <cell r="DM665">
            <v>0</v>
          </cell>
          <cell r="DO665">
            <v>0</v>
          </cell>
          <cell r="DQ665">
            <v>0</v>
          </cell>
          <cell r="DW665">
            <v>0</v>
          </cell>
          <cell r="DX665">
            <v>0</v>
          </cell>
          <cell r="DY665">
            <v>0</v>
          </cell>
          <cell r="DZ665">
            <v>0</v>
          </cell>
          <cell r="EA665">
            <v>0</v>
          </cell>
          <cell r="EB665">
            <v>0</v>
          </cell>
          <cell r="EC665">
            <v>0</v>
          </cell>
        </row>
        <row r="666">
          <cell r="D666">
            <v>1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R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BA666">
            <v>0</v>
          </cell>
          <cell r="BB666">
            <v>0</v>
          </cell>
          <cell r="BH666">
            <v>0</v>
          </cell>
          <cell r="BI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U666">
            <v>0</v>
          </cell>
          <cell r="BV666">
            <v>0</v>
          </cell>
          <cell r="BW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N666">
            <v>0</v>
          </cell>
          <cell r="CO666">
            <v>0</v>
          </cell>
          <cell r="CP666">
            <v>0</v>
          </cell>
          <cell r="CS666">
            <v>0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H666">
            <v>0</v>
          </cell>
          <cell r="DL666">
            <v>0</v>
          </cell>
          <cell r="DM666">
            <v>0</v>
          </cell>
          <cell r="DO666">
            <v>0</v>
          </cell>
          <cell r="DQ666">
            <v>0</v>
          </cell>
          <cell r="DW666">
            <v>0</v>
          </cell>
          <cell r="DX666">
            <v>0</v>
          </cell>
          <cell r="DY666">
            <v>0</v>
          </cell>
          <cell r="DZ666">
            <v>0</v>
          </cell>
          <cell r="EA666">
            <v>0</v>
          </cell>
          <cell r="EB666">
            <v>0</v>
          </cell>
          <cell r="EC666">
            <v>0</v>
          </cell>
        </row>
        <row r="667"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R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1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BA667">
            <v>0</v>
          </cell>
          <cell r="BB667">
            <v>0</v>
          </cell>
          <cell r="BH667">
            <v>0</v>
          </cell>
          <cell r="BI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U667">
            <v>0</v>
          </cell>
          <cell r="BV667">
            <v>0</v>
          </cell>
          <cell r="BW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N667">
            <v>0</v>
          </cell>
          <cell r="CO667">
            <v>0</v>
          </cell>
          <cell r="CP667">
            <v>0</v>
          </cell>
          <cell r="CS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H667">
            <v>0</v>
          </cell>
          <cell r="DL667">
            <v>0</v>
          </cell>
          <cell r="DM667">
            <v>0</v>
          </cell>
          <cell r="DO667">
            <v>0</v>
          </cell>
          <cell r="DQ667">
            <v>0</v>
          </cell>
          <cell r="DW667">
            <v>0</v>
          </cell>
          <cell r="DX667">
            <v>0</v>
          </cell>
          <cell r="DY667">
            <v>0</v>
          </cell>
          <cell r="DZ667">
            <v>0</v>
          </cell>
          <cell r="EA667">
            <v>0</v>
          </cell>
          <cell r="EB667">
            <v>0</v>
          </cell>
          <cell r="EC667">
            <v>0</v>
          </cell>
        </row>
        <row r="668"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1</v>
          </cell>
          <cell r="R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BA668">
            <v>0</v>
          </cell>
          <cell r="BB668">
            <v>0</v>
          </cell>
          <cell r="BH668">
            <v>0</v>
          </cell>
          <cell r="BI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U668">
            <v>0</v>
          </cell>
          <cell r="BV668">
            <v>0</v>
          </cell>
          <cell r="BW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N668">
            <v>0</v>
          </cell>
          <cell r="CO668">
            <v>0</v>
          </cell>
          <cell r="CP668">
            <v>0</v>
          </cell>
          <cell r="CS668">
            <v>0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H668">
            <v>0</v>
          </cell>
          <cell r="DL668">
            <v>0</v>
          </cell>
          <cell r="DM668">
            <v>0</v>
          </cell>
          <cell r="DO668">
            <v>0</v>
          </cell>
          <cell r="DQ668">
            <v>0</v>
          </cell>
          <cell r="DW668">
            <v>0</v>
          </cell>
          <cell r="DX668">
            <v>0</v>
          </cell>
          <cell r="DY668">
            <v>0</v>
          </cell>
          <cell r="DZ668">
            <v>0</v>
          </cell>
          <cell r="EA668">
            <v>0</v>
          </cell>
          <cell r="EB668">
            <v>0</v>
          </cell>
          <cell r="EC668">
            <v>0</v>
          </cell>
        </row>
        <row r="669"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R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BA669">
            <v>0</v>
          </cell>
          <cell r="BB669">
            <v>0</v>
          </cell>
          <cell r="BH669">
            <v>0</v>
          </cell>
          <cell r="BI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U669">
            <v>0</v>
          </cell>
          <cell r="BV669">
            <v>0</v>
          </cell>
          <cell r="BW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N669">
            <v>0</v>
          </cell>
          <cell r="CO669">
            <v>0</v>
          </cell>
          <cell r="CP669">
            <v>0</v>
          </cell>
          <cell r="CS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H669">
            <v>0</v>
          </cell>
          <cell r="DL669">
            <v>0</v>
          </cell>
          <cell r="DM669">
            <v>0</v>
          </cell>
          <cell r="DO669">
            <v>0</v>
          </cell>
          <cell r="DQ669">
            <v>0</v>
          </cell>
          <cell r="DW669">
            <v>0</v>
          </cell>
          <cell r="DX669">
            <v>0</v>
          </cell>
          <cell r="DY669">
            <v>0</v>
          </cell>
          <cell r="DZ669">
            <v>0</v>
          </cell>
          <cell r="EA669">
            <v>0</v>
          </cell>
          <cell r="EB669">
            <v>0</v>
          </cell>
          <cell r="EC669">
            <v>0</v>
          </cell>
        </row>
        <row r="670"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R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1</v>
          </cell>
          <cell r="AA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BA670">
            <v>0</v>
          </cell>
          <cell r="BB670">
            <v>0</v>
          </cell>
          <cell r="BH670">
            <v>0</v>
          </cell>
          <cell r="BI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U670">
            <v>0</v>
          </cell>
          <cell r="BV670">
            <v>0</v>
          </cell>
          <cell r="BW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N670">
            <v>0</v>
          </cell>
          <cell r="CO670">
            <v>0</v>
          </cell>
          <cell r="CP670">
            <v>0</v>
          </cell>
          <cell r="CS670">
            <v>0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H670">
            <v>0</v>
          </cell>
          <cell r="DL670">
            <v>0</v>
          </cell>
          <cell r="DM670">
            <v>0</v>
          </cell>
          <cell r="DO670">
            <v>0</v>
          </cell>
          <cell r="DQ670">
            <v>0</v>
          </cell>
          <cell r="DW670">
            <v>0</v>
          </cell>
          <cell r="DX670">
            <v>0</v>
          </cell>
          <cell r="DY670">
            <v>0</v>
          </cell>
          <cell r="DZ670">
            <v>0</v>
          </cell>
          <cell r="EA670">
            <v>0</v>
          </cell>
          <cell r="EB670">
            <v>0</v>
          </cell>
          <cell r="EC670">
            <v>0</v>
          </cell>
        </row>
        <row r="671"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R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E671">
            <v>0</v>
          </cell>
          <cell r="AF671">
            <v>0</v>
          </cell>
          <cell r="AG671">
            <v>1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BA671">
            <v>0</v>
          </cell>
          <cell r="BB671">
            <v>0</v>
          </cell>
          <cell r="BH671">
            <v>0</v>
          </cell>
          <cell r="BI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U671">
            <v>0</v>
          </cell>
          <cell r="BV671">
            <v>0</v>
          </cell>
          <cell r="BW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N671">
            <v>0</v>
          </cell>
          <cell r="CO671">
            <v>0</v>
          </cell>
          <cell r="CP671">
            <v>0</v>
          </cell>
          <cell r="CS671">
            <v>0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H671">
            <v>0</v>
          </cell>
          <cell r="DL671">
            <v>0</v>
          </cell>
          <cell r="DM671">
            <v>0</v>
          </cell>
          <cell r="DO671">
            <v>0</v>
          </cell>
          <cell r="DQ671">
            <v>0</v>
          </cell>
          <cell r="DW671">
            <v>0</v>
          </cell>
          <cell r="DX671">
            <v>0</v>
          </cell>
          <cell r="DY671">
            <v>0</v>
          </cell>
          <cell r="DZ671">
            <v>0</v>
          </cell>
          <cell r="EA671">
            <v>0</v>
          </cell>
          <cell r="EB671">
            <v>0</v>
          </cell>
          <cell r="EC671">
            <v>0</v>
          </cell>
        </row>
        <row r="672"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R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1</v>
          </cell>
          <cell r="Z672">
            <v>0</v>
          </cell>
          <cell r="AA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BA672">
            <v>0</v>
          </cell>
          <cell r="BB672">
            <v>0</v>
          </cell>
          <cell r="BH672">
            <v>0</v>
          </cell>
          <cell r="BI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U672">
            <v>0</v>
          </cell>
          <cell r="BV672">
            <v>0</v>
          </cell>
          <cell r="BW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N672">
            <v>0</v>
          </cell>
          <cell r="CO672">
            <v>0</v>
          </cell>
          <cell r="CP672">
            <v>0</v>
          </cell>
          <cell r="CS672">
            <v>0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H672">
            <v>0</v>
          </cell>
          <cell r="DL672">
            <v>0</v>
          </cell>
          <cell r="DM672">
            <v>0</v>
          </cell>
          <cell r="DO672">
            <v>0</v>
          </cell>
          <cell r="DQ672">
            <v>0</v>
          </cell>
          <cell r="DW672">
            <v>0</v>
          </cell>
          <cell r="DX672">
            <v>0</v>
          </cell>
          <cell r="DY672">
            <v>0</v>
          </cell>
          <cell r="DZ672">
            <v>0</v>
          </cell>
          <cell r="EA672">
            <v>0</v>
          </cell>
          <cell r="EB672">
            <v>0</v>
          </cell>
          <cell r="EC672">
            <v>0</v>
          </cell>
        </row>
        <row r="673"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R673">
            <v>0</v>
          </cell>
          <cell r="V673">
            <v>0</v>
          </cell>
          <cell r="W673">
            <v>0</v>
          </cell>
          <cell r="X673">
            <v>1</v>
          </cell>
          <cell r="Y673">
            <v>0</v>
          </cell>
          <cell r="Z673">
            <v>0</v>
          </cell>
          <cell r="AA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BA673">
            <v>0</v>
          </cell>
          <cell r="BB673">
            <v>0</v>
          </cell>
          <cell r="BH673">
            <v>0</v>
          </cell>
          <cell r="BI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U673">
            <v>0</v>
          </cell>
          <cell r="BV673">
            <v>0</v>
          </cell>
          <cell r="BW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N673">
            <v>0</v>
          </cell>
          <cell r="CO673">
            <v>0</v>
          </cell>
          <cell r="CP673">
            <v>0</v>
          </cell>
          <cell r="CS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L673">
            <v>0</v>
          </cell>
          <cell r="DM673">
            <v>0</v>
          </cell>
          <cell r="DO673">
            <v>0</v>
          </cell>
          <cell r="DQ673">
            <v>0</v>
          </cell>
          <cell r="DW673">
            <v>0</v>
          </cell>
          <cell r="DX673">
            <v>0</v>
          </cell>
          <cell r="DY673">
            <v>0</v>
          </cell>
          <cell r="DZ673">
            <v>0</v>
          </cell>
          <cell r="EA673">
            <v>0</v>
          </cell>
          <cell r="EB673">
            <v>0</v>
          </cell>
          <cell r="EC673">
            <v>0</v>
          </cell>
        </row>
        <row r="674"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R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BA674">
            <v>0</v>
          </cell>
          <cell r="BB674">
            <v>0</v>
          </cell>
          <cell r="BH674">
            <v>0</v>
          </cell>
          <cell r="BI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U674">
            <v>0</v>
          </cell>
          <cell r="BV674">
            <v>0</v>
          </cell>
          <cell r="BW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N674">
            <v>0</v>
          </cell>
          <cell r="CO674">
            <v>0</v>
          </cell>
          <cell r="CP674">
            <v>0</v>
          </cell>
          <cell r="CS674">
            <v>0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H674">
            <v>0</v>
          </cell>
          <cell r="DL674">
            <v>0</v>
          </cell>
          <cell r="DM674">
            <v>0</v>
          </cell>
          <cell r="DO674">
            <v>0</v>
          </cell>
          <cell r="DQ674">
            <v>0</v>
          </cell>
          <cell r="DW674">
            <v>0</v>
          </cell>
          <cell r="DX674">
            <v>0</v>
          </cell>
          <cell r="DY674">
            <v>0</v>
          </cell>
          <cell r="DZ674">
            <v>0</v>
          </cell>
          <cell r="EA674">
            <v>0</v>
          </cell>
          <cell r="EB674">
            <v>0</v>
          </cell>
          <cell r="EC674">
            <v>0</v>
          </cell>
        </row>
        <row r="675"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R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BA675">
            <v>0</v>
          </cell>
          <cell r="BB675">
            <v>0</v>
          </cell>
          <cell r="BH675">
            <v>0</v>
          </cell>
          <cell r="BI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U675">
            <v>0</v>
          </cell>
          <cell r="BV675">
            <v>0</v>
          </cell>
          <cell r="BW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N675">
            <v>0</v>
          </cell>
          <cell r="CO675">
            <v>0</v>
          </cell>
          <cell r="CP675">
            <v>0</v>
          </cell>
          <cell r="CS675">
            <v>0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H675">
            <v>0</v>
          </cell>
          <cell r="DL675">
            <v>0</v>
          </cell>
          <cell r="DM675">
            <v>0</v>
          </cell>
          <cell r="DO675">
            <v>0</v>
          </cell>
          <cell r="DQ675">
            <v>0</v>
          </cell>
          <cell r="DW675">
            <v>0</v>
          </cell>
          <cell r="DX675">
            <v>0</v>
          </cell>
          <cell r="DY675">
            <v>0</v>
          </cell>
          <cell r="DZ675">
            <v>0</v>
          </cell>
          <cell r="EA675">
            <v>0</v>
          </cell>
          <cell r="EB675">
            <v>0</v>
          </cell>
          <cell r="EC675">
            <v>0</v>
          </cell>
        </row>
        <row r="676"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R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BA676">
            <v>0</v>
          </cell>
          <cell r="BB676">
            <v>0</v>
          </cell>
          <cell r="BH676">
            <v>0</v>
          </cell>
          <cell r="BI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U676">
            <v>0</v>
          </cell>
          <cell r="BV676">
            <v>0</v>
          </cell>
          <cell r="BW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N676">
            <v>0</v>
          </cell>
          <cell r="CO676">
            <v>0</v>
          </cell>
          <cell r="CP676">
            <v>0</v>
          </cell>
          <cell r="CS676">
            <v>0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H676">
            <v>0</v>
          </cell>
          <cell r="DL676">
            <v>0</v>
          </cell>
          <cell r="DM676">
            <v>0</v>
          </cell>
          <cell r="DO676">
            <v>0</v>
          </cell>
          <cell r="DQ676">
            <v>0</v>
          </cell>
          <cell r="DW676">
            <v>0</v>
          </cell>
          <cell r="DX676">
            <v>0</v>
          </cell>
          <cell r="DY676">
            <v>0</v>
          </cell>
          <cell r="DZ676">
            <v>0</v>
          </cell>
          <cell r="EA676">
            <v>0</v>
          </cell>
          <cell r="EB676">
            <v>0</v>
          </cell>
          <cell r="EC676">
            <v>0</v>
          </cell>
        </row>
        <row r="677"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R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BA677">
            <v>0</v>
          </cell>
          <cell r="BB677">
            <v>0</v>
          </cell>
          <cell r="BH677">
            <v>0</v>
          </cell>
          <cell r="BI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U677">
            <v>0</v>
          </cell>
          <cell r="BV677">
            <v>0</v>
          </cell>
          <cell r="BW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N677">
            <v>0</v>
          </cell>
          <cell r="CO677">
            <v>0</v>
          </cell>
          <cell r="CP677">
            <v>0</v>
          </cell>
          <cell r="CS677">
            <v>0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H677">
            <v>0</v>
          </cell>
          <cell r="DL677">
            <v>0</v>
          </cell>
          <cell r="DM677">
            <v>0</v>
          </cell>
          <cell r="DO677">
            <v>0</v>
          </cell>
          <cell r="DQ677">
            <v>0</v>
          </cell>
          <cell r="DW677">
            <v>0</v>
          </cell>
          <cell r="DX677">
            <v>0</v>
          </cell>
          <cell r="DY677">
            <v>0</v>
          </cell>
          <cell r="DZ677">
            <v>0</v>
          </cell>
          <cell r="EA677">
            <v>0</v>
          </cell>
          <cell r="EB677">
            <v>0</v>
          </cell>
          <cell r="EC677">
            <v>0</v>
          </cell>
        </row>
        <row r="678"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R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BA678">
            <v>0</v>
          </cell>
          <cell r="BB678">
            <v>0</v>
          </cell>
          <cell r="BH678">
            <v>0</v>
          </cell>
          <cell r="BI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U678">
            <v>0</v>
          </cell>
          <cell r="BV678">
            <v>0</v>
          </cell>
          <cell r="BW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N678">
            <v>0</v>
          </cell>
          <cell r="CO678">
            <v>0</v>
          </cell>
          <cell r="CP678">
            <v>0</v>
          </cell>
          <cell r="CS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H678">
            <v>0</v>
          </cell>
          <cell r="DL678">
            <v>0</v>
          </cell>
          <cell r="DM678">
            <v>0</v>
          </cell>
          <cell r="DO678">
            <v>0</v>
          </cell>
          <cell r="DQ678">
            <v>0</v>
          </cell>
          <cell r="DW678">
            <v>0</v>
          </cell>
          <cell r="DX678">
            <v>0</v>
          </cell>
          <cell r="DY678">
            <v>0</v>
          </cell>
          <cell r="DZ678">
            <v>0</v>
          </cell>
          <cell r="EA678">
            <v>0</v>
          </cell>
          <cell r="EB678">
            <v>0</v>
          </cell>
          <cell r="EC678">
            <v>0</v>
          </cell>
        </row>
        <row r="679"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R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N679">
            <v>0</v>
          </cell>
          <cell r="AO679">
            <v>1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BA679">
            <v>0</v>
          </cell>
          <cell r="BB679">
            <v>0</v>
          </cell>
          <cell r="BH679">
            <v>0</v>
          </cell>
          <cell r="BI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U679">
            <v>0</v>
          </cell>
          <cell r="BV679">
            <v>0</v>
          </cell>
          <cell r="BW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N679">
            <v>0</v>
          </cell>
          <cell r="CO679">
            <v>0</v>
          </cell>
          <cell r="CP679">
            <v>0</v>
          </cell>
          <cell r="CS679">
            <v>0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H679">
            <v>0</v>
          </cell>
          <cell r="DL679">
            <v>0</v>
          </cell>
          <cell r="DM679">
            <v>0</v>
          </cell>
          <cell r="DO679">
            <v>0</v>
          </cell>
          <cell r="DQ679">
            <v>0</v>
          </cell>
          <cell r="DW679">
            <v>0</v>
          </cell>
          <cell r="DX679">
            <v>0</v>
          </cell>
          <cell r="DY679">
            <v>0</v>
          </cell>
          <cell r="DZ679">
            <v>0</v>
          </cell>
          <cell r="EA679">
            <v>0</v>
          </cell>
          <cell r="EB679">
            <v>0</v>
          </cell>
          <cell r="EC679">
            <v>0</v>
          </cell>
        </row>
        <row r="680"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R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BA680">
            <v>0</v>
          </cell>
          <cell r="BB680">
            <v>0</v>
          </cell>
          <cell r="BH680">
            <v>0</v>
          </cell>
          <cell r="BI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U680">
            <v>0</v>
          </cell>
          <cell r="BV680">
            <v>0</v>
          </cell>
          <cell r="BW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N680">
            <v>0</v>
          </cell>
          <cell r="CO680">
            <v>0</v>
          </cell>
          <cell r="CP680">
            <v>0</v>
          </cell>
          <cell r="CS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H680">
            <v>0</v>
          </cell>
          <cell r="DL680">
            <v>0</v>
          </cell>
          <cell r="DM680">
            <v>0</v>
          </cell>
          <cell r="DO680">
            <v>0</v>
          </cell>
          <cell r="DQ680">
            <v>0</v>
          </cell>
          <cell r="DW680">
            <v>0</v>
          </cell>
          <cell r="DX680">
            <v>0</v>
          </cell>
          <cell r="DY680">
            <v>0</v>
          </cell>
          <cell r="DZ680">
            <v>0</v>
          </cell>
          <cell r="EA680">
            <v>0</v>
          </cell>
          <cell r="EB680">
            <v>0</v>
          </cell>
          <cell r="EC680">
            <v>0</v>
          </cell>
        </row>
        <row r="681"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R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1</v>
          </cell>
          <cell r="Z681">
            <v>0</v>
          </cell>
          <cell r="AA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BA681">
            <v>0</v>
          </cell>
          <cell r="BB681">
            <v>0</v>
          </cell>
          <cell r="BH681">
            <v>0</v>
          </cell>
          <cell r="BI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U681">
            <v>0</v>
          </cell>
          <cell r="BV681">
            <v>0</v>
          </cell>
          <cell r="BW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N681">
            <v>0</v>
          </cell>
          <cell r="CO681">
            <v>0</v>
          </cell>
          <cell r="CP681">
            <v>0</v>
          </cell>
          <cell r="CS681">
            <v>0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H681">
            <v>0</v>
          </cell>
          <cell r="DL681">
            <v>0</v>
          </cell>
          <cell r="DM681">
            <v>0</v>
          </cell>
          <cell r="DO681">
            <v>0</v>
          </cell>
          <cell r="DQ681">
            <v>0</v>
          </cell>
          <cell r="DW681">
            <v>0</v>
          </cell>
          <cell r="DX681">
            <v>0</v>
          </cell>
          <cell r="DY681">
            <v>0</v>
          </cell>
          <cell r="DZ681">
            <v>0</v>
          </cell>
          <cell r="EA681">
            <v>0</v>
          </cell>
          <cell r="EB681">
            <v>0</v>
          </cell>
          <cell r="EC681">
            <v>0</v>
          </cell>
        </row>
        <row r="682"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R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BA682">
            <v>0</v>
          </cell>
          <cell r="BB682">
            <v>0</v>
          </cell>
          <cell r="BH682">
            <v>0</v>
          </cell>
          <cell r="BI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U682">
            <v>0</v>
          </cell>
          <cell r="BV682">
            <v>0</v>
          </cell>
          <cell r="BW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N682">
            <v>0</v>
          </cell>
          <cell r="CO682">
            <v>0</v>
          </cell>
          <cell r="CP682">
            <v>0</v>
          </cell>
          <cell r="CS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L682">
            <v>0</v>
          </cell>
          <cell r="DM682">
            <v>0</v>
          </cell>
          <cell r="DO682">
            <v>0</v>
          </cell>
          <cell r="DQ682">
            <v>0</v>
          </cell>
          <cell r="DW682">
            <v>0</v>
          </cell>
          <cell r="DX682">
            <v>0</v>
          </cell>
          <cell r="DY682">
            <v>0</v>
          </cell>
          <cell r="DZ682">
            <v>0</v>
          </cell>
          <cell r="EA682">
            <v>0</v>
          </cell>
          <cell r="EB682">
            <v>0</v>
          </cell>
          <cell r="EC682">
            <v>0</v>
          </cell>
        </row>
        <row r="683"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R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1</v>
          </cell>
          <cell r="AL683">
            <v>1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BA683">
            <v>0</v>
          </cell>
          <cell r="BB683">
            <v>0</v>
          </cell>
          <cell r="BH683">
            <v>0</v>
          </cell>
          <cell r="BI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U683">
            <v>0</v>
          </cell>
          <cell r="BV683">
            <v>0</v>
          </cell>
          <cell r="BW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N683">
            <v>0</v>
          </cell>
          <cell r="CO683">
            <v>0</v>
          </cell>
          <cell r="CP683">
            <v>0</v>
          </cell>
          <cell r="CS683">
            <v>0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0</v>
          </cell>
          <cell r="DF683">
            <v>0</v>
          </cell>
          <cell r="DG683">
            <v>0</v>
          </cell>
          <cell r="DH683">
            <v>0</v>
          </cell>
          <cell r="DL683">
            <v>0</v>
          </cell>
          <cell r="DM683">
            <v>0</v>
          </cell>
          <cell r="DO683">
            <v>0</v>
          </cell>
          <cell r="DQ683">
            <v>0</v>
          </cell>
          <cell r="DW683">
            <v>0</v>
          </cell>
          <cell r="DX683">
            <v>0</v>
          </cell>
          <cell r="DY683">
            <v>0</v>
          </cell>
          <cell r="DZ683">
            <v>0</v>
          </cell>
          <cell r="EA683">
            <v>0</v>
          </cell>
          <cell r="EB683">
            <v>0</v>
          </cell>
          <cell r="EC683">
            <v>0</v>
          </cell>
        </row>
        <row r="684"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R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BA684">
            <v>0</v>
          </cell>
          <cell r="BB684">
            <v>0</v>
          </cell>
          <cell r="BH684">
            <v>0</v>
          </cell>
          <cell r="BI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1</v>
          </cell>
          <cell r="BQ684">
            <v>0</v>
          </cell>
          <cell r="BR684">
            <v>0</v>
          </cell>
          <cell r="BS684">
            <v>0</v>
          </cell>
          <cell r="BU684">
            <v>0</v>
          </cell>
          <cell r="BV684">
            <v>0</v>
          </cell>
          <cell r="BW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N684">
            <v>0</v>
          </cell>
          <cell r="CO684">
            <v>0</v>
          </cell>
          <cell r="CP684">
            <v>0</v>
          </cell>
          <cell r="CS684">
            <v>0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0</v>
          </cell>
          <cell r="DF684">
            <v>0</v>
          </cell>
          <cell r="DG684">
            <v>0</v>
          </cell>
          <cell r="DH684">
            <v>0</v>
          </cell>
          <cell r="DL684">
            <v>0</v>
          </cell>
          <cell r="DM684">
            <v>0</v>
          </cell>
          <cell r="DO684">
            <v>0</v>
          </cell>
          <cell r="DQ684">
            <v>0</v>
          </cell>
          <cell r="DW684">
            <v>0</v>
          </cell>
          <cell r="DX684">
            <v>0</v>
          </cell>
          <cell r="DY684">
            <v>0</v>
          </cell>
          <cell r="DZ684">
            <v>0</v>
          </cell>
          <cell r="EA684">
            <v>0</v>
          </cell>
          <cell r="EB684">
            <v>0</v>
          </cell>
          <cell r="EC684">
            <v>0</v>
          </cell>
        </row>
        <row r="685"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R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N685">
            <v>0</v>
          </cell>
          <cell r="AO685">
            <v>0</v>
          </cell>
          <cell r="AP685">
            <v>1</v>
          </cell>
          <cell r="AQ685">
            <v>0</v>
          </cell>
          <cell r="AR685">
            <v>0</v>
          </cell>
          <cell r="AS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BA685">
            <v>0</v>
          </cell>
          <cell r="BB685">
            <v>0</v>
          </cell>
          <cell r="BH685">
            <v>0</v>
          </cell>
          <cell r="BI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U685">
            <v>0</v>
          </cell>
          <cell r="BV685">
            <v>0</v>
          </cell>
          <cell r="BW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N685">
            <v>0</v>
          </cell>
          <cell r="CO685">
            <v>0</v>
          </cell>
          <cell r="CP685">
            <v>0</v>
          </cell>
          <cell r="CS685">
            <v>0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0</v>
          </cell>
          <cell r="DF685">
            <v>0</v>
          </cell>
          <cell r="DG685">
            <v>0</v>
          </cell>
          <cell r="DH685">
            <v>0</v>
          </cell>
          <cell r="DL685">
            <v>0</v>
          </cell>
          <cell r="DM685">
            <v>0</v>
          </cell>
          <cell r="DO685">
            <v>0</v>
          </cell>
          <cell r="DQ685">
            <v>0</v>
          </cell>
          <cell r="DW685">
            <v>0</v>
          </cell>
          <cell r="DX685">
            <v>0</v>
          </cell>
          <cell r="DY685">
            <v>0</v>
          </cell>
          <cell r="DZ685">
            <v>0</v>
          </cell>
          <cell r="EA685">
            <v>0</v>
          </cell>
          <cell r="EB685">
            <v>0</v>
          </cell>
          <cell r="EC685">
            <v>0</v>
          </cell>
        </row>
        <row r="686"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R686">
            <v>0</v>
          </cell>
          <cell r="V686">
            <v>1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BA686">
            <v>0</v>
          </cell>
          <cell r="BB686">
            <v>0</v>
          </cell>
          <cell r="BH686">
            <v>0</v>
          </cell>
          <cell r="BI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U686">
            <v>0</v>
          </cell>
          <cell r="BV686">
            <v>0</v>
          </cell>
          <cell r="BW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N686">
            <v>0</v>
          </cell>
          <cell r="CO686">
            <v>0</v>
          </cell>
          <cell r="CP686">
            <v>0</v>
          </cell>
          <cell r="CS686">
            <v>0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0</v>
          </cell>
          <cell r="DF686">
            <v>0</v>
          </cell>
          <cell r="DG686">
            <v>0</v>
          </cell>
          <cell r="DH686">
            <v>0</v>
          </cell>
          <cell r="DL686">
            <v>0</v>
          </cell>
          <cell r="DM686">
            <v>0</v>
          </cell>
          <cell r="DO686">
            <v>0</v>
          </cell>
          <cell r="DQ686">
            <v>0</v>
          </cell>
          <cell r="DW686">
            <v>0</v>
          </cell>
          <cell r="DX686">
            <v>0</v>
          </cell>
          <cell r="DY686">
            <v>0</v>
          </cell>
          <cell r="DZ686">
            <v>0</v>
          </cell>
          <cell r="EA686">
            <v>0</v>
          </cell>
          <cell r="EB686">
            <v>0</v>
          </cell>
          <cell r="EC686">
            <v>0</v>
          </cell>
        </row>
        <row r="687"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R687">
            <v>1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BA687">
            <v>0</v>
          </cell>
          <cell r="BB687">
            <v>0</v>
          </cell>
          <cell r="BH687">
            <v>0</v>
          </cell>
          <cell r="BI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U687">
            <v>0</v>
          </cell>
          <cell r="BV687">
            <v>0</v>
          </cell>
          <cell r="BW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N687">
            <v>0</v>
          </cell>
          <cell r="CO687">
            <v>0</v>
          </cell>
          <cell r="CP687">
            <v>0</v>
          </cell>
          <cell r="CS687">
            <v>0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0</v>
          </cell>
          <cell r="DF687">
            <v>0</v>
          </cell>
          <cell r="DG687">
            <v>0</v>
          </cell>
          <cell r="DH687">
            <v>0</v>
          </cell>
          <cell r="DL687">
            <v>0</v>
          </cell>
          <cell r="DM687">
            <v>0</v>
          </cell>
          <cell r="DO687">
            <v>0</v>
          </cell>
          <cell r="DQ687">
            <v>0</v>
          </cell>
          <cell r="DW687">
            <v>0</v>
          </cell>
          <cell r="DX687">
            <v>0</v>
          </cell>
          <cell r="DY687">
            <v>0</v>
          </cell>
          <cell r="DZ687">
            <v>0</v>
          </cell>
          <cell r="EA687">
            <v>0</v>
          </cell>
          <cell r="EB687">
            <v>0</v>
          </cell>
          <cell r="EC687">
            <v>0</v>
          </cell>
        </row>
        <row r="688"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R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BA688">
            <v>0</v>
          </cell>
          <cell r="BB688">
            <v>0</v>
          </cell>
          <cell r="BH688">
            <v>0</v>
          </cell>
          <cell r="BI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U688">
            <v>0</v>
          </cell>
          <cell r="BV688">
            <v>0</v>
          </cell>
          <cell r="BW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N688">
            <v>0</v>
          </cell>
          <cell r="CO688">
            <v>0</v>
          </cell>
          <cell r="CP688">
            <v>0</v>
          </cell>
          <cell r="CS688">
            <v>0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L688">
            <v>0</v>
          </cell>
          <cell r="DM688">
            <v>0</v>
          </cell>
          <cell r="DO688">
            <v>0</v>
          </cell>
          <cell r="DQ688">
            <v>0</v>
          </cell>
          <cell r="DW688">
            <v>0</v>
          </cell>
          <cell r="DX688">
            <v>0</v>
          </cell>
          <cell r="DY688">
            <v>0</v>
          </cell>
          <cell r="DZ688">
            <v>0</v>
          </cell>
          <cell r="EA688">
            <v>0</v>
          </cell>
          <cell r="EB688">
            <v>0</v>
          </cell>
          <cell r="EC688">
            <v>0</v>
          </cell>
        </row>
        <row r="689"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R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BA689">
            <v>0</v>
          </cell>
          <cell r="BB689">
            <v>0</v>
          </cell>
          <cell r="BH689">
            <v>0</v>
          </cell>
          <cell r="BI689">
            <v>0</v>
          </cell>
          <cell r="BL689">
            <v>0</v>
          </cell>
          <cell r="BM689">
            <v>2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U689">
            <v>0</v>
          </cell>
          <cell r="BV689">
            <v>0</v>
          </cell>
          <cell r="BW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N689">
            <v>0</v>
          </cell>
          <cell r="CO689">
            <v>0</v>
          </cell>
          <cell r="CP689">
            <v>0</v>
          </cell>
          <cell r="CS689">
            <v>0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L689">
            <v>0</v>
          </cell>
          <cell r="DM689">
            <v>0</v>
          </cell>
          <cell r="DO689">
            <v>0</v>
          </cell>
          <cell r="DQ689">
            <v>0</v>
          </cell>
          <cell r="DW689">
            <v>0</v>
          </cell>
          <cell r="DX689">
            <v>0</v>
          </cell>
          <cell r="DY689">
            <v>0</v>
          </cell>
          <cell r="DZ689">
            <v>0</v>
          </cell>
          <cell r="EA689">
            <v>0</v>
          </cell>
          <cell r="EB689">
            <v>0</v>
          </cell>
          <cell r="EC689">
            <v>0</v>
          </cell>
        </row>
        <row r="690"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R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1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BA690">
            <v>0</v>
          </cell>
          <cell r="BB690">
            <v>0</v>
          </cell>
          <cell r="BH690">
            <v>0</v>
          </cell>
          <cell r="BI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U690">
            <v>0</v>
          </cell>
          <cell r="BV690">
            <v>0</v>
          </cell>
          <cell r="BW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N690">
            <v>0</v>
          </cell>
          <cell r="CO690">
            <v>0</v>
          </cell>
          <cell r="CP690">
            <v>0</v>
          </cell>
          <cell r="CS690">
            <v>0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0</v>
          </cell>
          <cell r="DF690">
            <v>0</v>
          </cell>
          <cell r="DG690">
            <v>0</v>
          </cell>
          <cell r="DH690">
            <v>0</v>
          </cell>
          <cell r="DL690">
            <v>0</v>
          </cell>
          <cell r="DM690">
            <v>0</v>
          </cell>
          <cell r="DO690">
            <v>0</v>
          </cell>
          <cell r="DQ690">
            <v>0</v>
          </cell>
          <cell r="DW690">
            <v>0</v>
          </cell>
          <cell r="DX690">
            <v>0</v>
          </cell>
          <cell r="DY690">
            <v>0</v>
          </cell>
          <cell r="DZ690">
            <v>0</v>
          </cell>
          <cell r="EA690">
            <v>0</v>
          </cell>
          <cell r="EB690">
            <v>0</v>
          </cell>
          <cell r="EC690">
            <v>0</v>
          </cell>
        </row>
        <row r="691"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R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BA691">
            <v>0</v>
          </cell>
          <cell r="BB691">
            <v>0</v>
          </cell>
          <cell r="BH691">
            <v>0</v>
          </cell>
          <cell r="BI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U691">
            <v>0</v>
          </cell>
          <cell r="BV691">
            <v>0</v>
          </cell>
          <cell r="BW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N691">
            <v>0</v>
          </cell>
          <cell r="CO691">
            <v>0</v>
          </cell>
          <cell r="CP691">
            <v>0</v>
          </cell>
          <cell r="CS691">
            <v>0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H691">
            <v>0</v>
          </cell>
          <cell r="DL691">
            <v>0</v>
          </cell>
          <cell r="DM691">
            <v>0</v>
          </cell>
          <cell r="DO691">
            <v>1</v>
          </cell>
          <cell r="DQ691">
            <v>0</v>
          </cell>
          <cell r="DW691">
            <v>0</v>
          </cell>
          <cell r="DX691">
            <v>0</v>
          </cell>
          <cell r="DY691">
            <v>0</v>
          </cell>
          <cell r="DZ691">
            <v>0</v>
          </cell>
          <cell r="EA691">
            <v>0</v>
          </cell>
          <cell r="EB691">
            <v>0</v>
          </cell>
          <cell r="EC691">
            <v>0</v>
          </cell>
        </row>
        <row r="692"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R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1</v>
          </cell>
          <cell r="AY692">
            <v>0</v>
          </cell>
          <cell r="BA692">
            <v>0</v>
          </cell>
          <cell r="BB692">
            <v>0</v>
          </cell>
          <cell r="BH692">
            <v>0</v>
          </cell>
          <cell r="BI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U692">
            <v>0</v>
          </cell>
          <cell r="BV692">
            <v>0</v>
          </cell>
          <cell r="BW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N692">
            <v>0</v>
          </cell>
          <cell r="CO692">
            <v>0</v>
          </cell>
          <cell r="CP692">
            <v>0</v>
          </cell>
          <cell r="CS692">
            <v>0</v>
          </cell>
          <cell r="CU692">
            <v>0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H692">
            <v>0</v>
          </cell>
          <cell r="DL692">
            <v>0</v>
          </cell>
          <cell r="DM692">
            <v>0</v>
          </cell>
          <cell r="DO692">
            <v>0</v>
          </cell>
          <cell r="DQ692">
            <v>0</v>
          </cell>
          <cell r="DW692">
            <v>0</v>
          </cell>
          <cell r="DX692">
            <v>0</v>
          </cell>
          <cell r="DY692">
            <v>0</v>
          </cell>
          <cell r="DZ692">
            <v>0</v>
          </cell>
          <cell r="EA692">
            <v>0</v>
          </cell>
          <cell r="EB692">
            <v>0</v>
          </cell>
          <cell r="EC692">
            <v>0</v>
          </cell>
        </row>
        <row r="693"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R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U693">
            <v>1</v>
          </cell>
          <cell r="AV693">
            <v>1</v>
          </cell>
          <cell r="AW693">
            <v>0</v>
          </cell>
          <cell r="AX693">
            <v>0</v>
          </cell>
          <cell r="AY693">
            <v>0</v>
          </cell>
          <cell r="BA693">
            <v>0</v>
          </cell>
          <cell r="BB693">
            <v>0</v>
          </cell>
          <cell r="BH693">
            <v>0</v>
          </cell>
          <cell r="BI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U693">
            <v>0</v>
          </cell>
          <cell r="BV693">
            <v>0</v>
          </cell>
          <cell r="BW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N693">
            <v>0</v>
          </cell>
          <cell r="CO693">
            <v>0</v>
          </cell>
          <cell r="CP693">
            <v>0</v>
          </cell>
          <cell r="CS693">
            <v>0</v>
          </cell>
          <cell r="CU693">
            <v>0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H693">
            <v>0</v>
          </cell>
          <cell r="DL693">
            <v>0</v>
          </cell>
          <cell r="DM693">
            <v>0</v>
          </cell>
          <cell r="DO693">
            <v>0</v>
          </cell>
          <cell r="DQ693">
            <v>0</v>
          </cell>
          <cell r="DW693">
            <v>0</v>
          </cell>
          <cell r="DX693">
            <v>0</v>
          </cell>
          <cell r="DY693">
            <v>0</v>
          </cell>
          <cell r="DZ693">
            <v>0</v>
          </cell>
          <cell r="EA693">
            <v>0</v>
          </cell>
          <cell r="EB693">
            <v>0</v>
          </cell>
          <cell r="EC693">
            <v>0</v>
          </cell>
        </row>
        <row r="694"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R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BA694">
            <v>0</v>
          </cell>
          <cell r="BB694">
            <v>0</v>
          </cell>
          <cell r="BH694">
            <v>0</v>
          </cell>
          <cell r="BI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U694">
            <v>0</v>
          </cell>
          <cell r="BV694">
            <v>0</v>
          </cell>
          <cell r="BW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N694">
            <v>0</v>
          </cell>
          <cell r="CO694">
            <v>0</v>
          </cell>
          <cell r="CP694">
            <v>0</v>
          </cell>
          <cell r="CS694">
            <v>0</v>
          </cell>
          <cell r="CU694">
            <v>0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0</v>
          </cell>
          <cell r="DF694">
            <v>0</v>
          </cell>
          <cell r="DG694">
            <v>0</v>
          </cell>
          <cell r="DH694">
            <v>0</v>
          </cell>
          <cell r="DL694">
            <v>0</v>
          </cell>
          <cell r="DM694">
            <v>0</v>
          </cell>
          <cell r="DO694">
            <v>0</v>
          </cell>
          <cell r="DQ694">
            <v>0</v>
          </cell>
          <cell r="DW694">
            <v>0</v>
          </cell>
          <cell r="DX694">
            <v>0</v>
          </cell>
          <cell r="DY694">
            <v>0</v>
          </cell>
          <cell r="DZ694">
            <v>0</v>
          </cell>
          <cell r="EA694">
            <v>0</v>
          </cell>
          <cell r="EB694">
            <v>0</v>
          </cell>
          <cell r="EC694">
            <v>0</v>
          </cell>
        </row>
        <row r="695"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R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1</v>
          </cell>
          <cell r="BA695">
            <v>0</v>
          </cell>
          <cell r="BB695">
            <v>0</v>
          </cell>
          <cell r="BH695">
            <v>0</v>
          </cell>
          <cell r="BI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U695">
            <v>0</v>
          </cell>
          <cell r="BV695">
            <v>0</v>
          </cell>
          <cell r="BW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N695">
            <v>0</v>
          </cell>
          <cell r="CO695">
            <v>0</v>
          </cell>
          <cell r="CP695">
            <v>0</v>
          </cell>
          <cell r="CS695">
            <v>0</v>
          </cell>
          <cell r="CU695">
            <v>0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0</v>
          </cell>
          <cell r="DF695">
            <v>0</v>
          </cell>
          <cell r="DG695">
            <v>0</v>
          </cell>
          <cell r="DH695">
            <v>0</v>
          </cell>
          <cell r="DL695">
            <v>0</v>
          </cell>
          <cell r="DM695">
            <v>0</v>
          </cell>
          <cell r="DO695">
            <v>0</v>
          </cell>
          <cell r="DQ695">
            <v>0</v>
          </cell>
          <cell r="DW695">
            <v>0</v>
          </cell>
          <cell r="DX695">
            <v>0</v>
          </cell>
          <cell r="DY695">
            <v>0</v>
          </cell>
          <cell r="DZ695">
            <v>0</v>
          </cell>
          <cell r="EA695">
            <v>0</v>
          </cell>
          <cell r="EB695">
            <v>0</v>
          </cell>
          <cell r="EC695">
            <v>0</v>
          </cell>
        </row>
        <row r="696"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R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U696">
            <v>0</v>
          </cell>
          <cell r="AV696">
            <v>0</v>
          </cell>
          <cell r="AW696">
            <v>1</v>
          </cell>
          <cell r="AX696">
            <v>0</v>
          </cell>
          <cell r="AY696">
            <v>0</v>
          </cell>
          <cell r="BA696">
            <v>0</v>
          </cell>
          <cell r="BB696">
            <v>0</v>
          </cell>
          <cell r="BH696">
            <v>0</v>
          </cell>
          <cell r="BI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U696">
            <v>0</v>
          </cell>
          <cell r="BV696">
            <v>0</v>
          </cell>
          <cell r="BW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N696">
            <v>0</v>
          </cell>
          <cell r="CO696">
            <v>0</v>
          </cell>
          <cell r="CP696">
            <v>0</v>
          </cell>
          <cell r="CS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L696">
            <v>0</v>
          </cell>
          <cell r="DM696">
            <v>0</v>
          </cell>
          <cell r="DO696">
            <v>0</v>
          </cell>
          <cell r="DQ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</row>
        <row r="697"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R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BA697">
            <v>0</v>
          </cell>
          <cell r="BB697">
            <v>0</v>
          </cell>
          <cell r="BH697">
            <v>0</v>
          </cell>
          <cell r="BI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U697">
            <v>0</v>
          </cell>
          <cell r="BV697">
            <v>0</v>
          </cell>
          <cell r="BW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N697">
            <v>0</v>
          </cell>
          <cell r="CO697">
            <v>0</v>
          </cell>
          <cell r="CP697">
            <v>0</v>
          </cell>
          <cell r="CS697">
            <v>0</v>
          </cell>
          <cell r="CU697">
            <v>0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0</v>
          </cell>
          <cell r="DF697">
            <v>0</v>
          </cell>
          <cell r="DG697">
            <v>0</v>
          </cell>
          <cell r="DH697">
            <v>0</v>
          </cell>
          <cell r="DL697">
            <v>0</v>
          </cell>
          <cell r="DM697">
            <v>0</v>
          </cell>
          <cell r="DO697">
            <v>0</v>
          </cell>
          <cell r="DQ697">
            <v>0</v>
          </cell>
          <cell r="DW697">
            <v>0</v>
          </cell>
          <cell r="DX697">
            <v>0</v>
          </cell>
          <cell r="DY697">
            <v>0</v>
          </cell>
          <cell r="DZ697">
            <v>0</v>
          </cell>
          <cell r="EA697">
            <v>0</v>
          </cell>
          <cell r="EB697">
            <v>0</v>
          </cell>
          <cell r="EC697">
            <v>0</v>
          </cell>
        </row>
        <row r="698"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1</v>
          </cell>
          <cell r="R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U698">
            <v>0</v>
          </cell>
          <cell r="AV698">
            <v>0</v>
          </cell>
          <cell r="AW698">
            <v>1</v>
          </cell>
          <cell r="AX698">
            <v>0</v>
          </cell>
          <cell r="AY698">
            <v>0</v>
          </cell>
          <cell r="BA698">
            <v>0</v>
          </cell>
          <cell r="BB698">
            <v>0</v>
          </cell>
          <cell r="BH698">
            <v>0</v>
          </cell>
          <cell r="BI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U698">
            <v>0</v>
          </cell>
          <cell r="BV698">
            <v>0</v>
          </cell>
          <cell r="BW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N698">
            <v>0</v>
          </cell>
          <cell r="CO698">
            <v>0</v>
          </cell>
          <cell r="CP698">
            <v>0</v>
          </cell>
          <cell r="CS698">
            <v>0</v>
          </cell>
          <cell r="CU698">
            <v>0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0</v>
          </cell>
          <cell r="DF698">
            <v>0</v>
          </cell>
          <cell r="DG698">
            <v>0</v>
          </cell>
          <cell r="DH698">
            <v>0</v>
          </cell>
          <cell r="DL698">
            <v>0</v>
          </cell>
          <cell r="DM698">
            <v>0</v>
          </cell>
          <cell r="DO698">
            <v>0</v>
          </cell>
          <cell r="DQ698">
            <v>0</v>
          </cell>
          <cell r="DW698">
            <v>0</v>
          </cell>
          <cell r="DX698">
            <v>0</v>
          </cell>
          <cell r="DY698">
            <v>0</v>
          </cell>
          <cell r="DZ698">
            <v>0</v>
          </cell>
          <cell r="EA698">
            <v>0</v>
          </cell>
          <cell r="EB698">
            <v>0</v>
          </cell>
          <cell r="EC698">
            <v>0</v>
          </cell>
        </row>
        <row r="699"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R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BA699">
            <v>0</v>
          </cell>
          <cell r="BB699">
            <v>0</v>
          </cell>
          <cell r="BH699">
            <v>0</v>
          </cell>
          <cell r="BI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U699">
            <v>0</v>
          </cell>
          <cell r="BV699">
            <v>0</v>
          </cell>
          <cell r="BW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N699">
            <v>0</v>
          </cell>
          <cell r="CO699">
            <v>0</v>
          </cell>
          <cell r="CP699">
            <v>0</v>
          </cell>
          <cell r="CS699">
            <v>0</v>
          </cell>
          <cell r="CU699">
            <v>0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0</v>
          </cell>
          <cell r="DF699">
            <v>0</v>
          </cell>
          <cell r="DG699">
            <v>0</v>
          </cell>
          <cell r="DH699">
            <v>0</v>
          </cell>
          <cell r="DL699">
            <v>0</v>
          </cell>
          <cell r="DM699">
            <v>0</v>
          </cell>
          <cell r="DO699">
            <v>0</v>
          </cell>
          <cell r="DQ699">
            <v>0</v>
          </cell>
          <cell r="DW699">
            <v>0</v>
          </cell>
          <cell r="DX699">
            <v>0</v>
          </cell>
          <cell r="DY699">
            <v>0</v>
          </cell>
          <cell r="DZ699">
            <v>0</v>
          </cell>
          <cell r="EA699">
            <v>0</v>
          </cell>
          <cell r="EB699">
            <v>0</v>
          </cell>
          <cell r="EC699">
            <v>0</v>
          </cell>
        </row>
        <row r="700"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R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BA700">
            <v>0</v>
          </cell>
          <cell r="BB700">
            <v>0</v>
          </cell>
          <cell r="BH700">
            <v>0</v>
          </cell>
          <cell r="BI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U700">
            <v>0</v>
          </cell>
          <cell r="BV700">
            <v>0</v>
          </cell>
          <cell r="BW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N700">
            <v>0</v>
          </cell>
          <cell r="CO700">
            <v>0</v>
          </cell>
          <cell r="CP700">
            <v>0</v>
          </cell>
          <cell r="CS700">
            <v>0</v>
          </cell>
          <cell r="CU700">
            <v>0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0</v>
          </cell>
          <cell r="DF700">
            <v>0</v>
          </cell>
          <cell r="DG700">
            <v>0</v>
          </cell>
          <cell r="DH700">
            <v>0</v>
          </cell>
          <cell r="DL700">
            <v>0</v>
          </cell>
          <cell r="DM700">
            <v>0</v>
          </cell>
          <cell r="DO700">
            <v>0</v>
          </cell>
          <cell r="DQ700">
            <v>0</v>
          </cell>
          <cell r="DW700">
            <v>0</v>
          </cell>
          <cell r="DX700">
            <v>0</v>
          </cell>
          <cell r="DY700">
            <v>0</v>
          </cell>
          <cell r="DZ700">
            <v>0</v>
          </cell>
          <cell r="EA700">
            <v>0</v>
          </cell>
          <cell r="EB700">
            <v>0</v>
          </cell>
          <cell r="EC700">
            <v>0</v>
          </cell>
        </row>
        <row r="701"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R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BA701">
            <v>0</v>
          </cell>
          <cell r="BB701">
            <v>0</v>
          </cell>
          <cell r="BH701">
            <v>0</v>
          </cell>
          <cell r="BI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U701">
            <v>0</v>
          </cell>
          <cell r="BV701">
            <v>0</v>
          </cell>
          <cell r="BW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N701">
            <v>0</v>
          </cell>
          <cell r="CO701">
            <v>0</v>
          </cell>
          <cell r="CP701">
            <v>0</v>
          </cell>
          <cell r="CS701">
            <v>0</v>
          </cell>
          <cell r="CU701">
            <v>0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0</v>
          </cell>
          <cell r="DF701">
            <v>0</v>
          </cell>
          <cell r="DG701">
            <v>0</v>
          </cell>
          <cell r="DH701">
            <v>0</v>
          </cell>
          <cell r="DL701">
            <v>0</v>
          </cell>
          <cell r="DM701">
            <v>0</v>
          </cell>
          <cell r="DO701">
            <v>0</v>
          </cell>
          <cell r="DQ701">
            <v>0</v>
          </cell>
          <cell r="DW701">
            <v>0</v>
          </cell>
          <cell r="DX701">
            <v>0</v>
          </cell>
          <cell r="DY701">
            <v>0</v>
          </cell>
          <cell r="DZ701">
            <v>0</v>
          </cell>
          <cell r="EA701">
            <v>0</v>
          </cell>
          <cell r="EB701">
            <v>0</v>
          </cell>
          <cell r="EC701">
            <v>0</v>
          </cell>
        </row>
        <row r="702"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R702">
            <v>0</v>
          </cell>
          <cell r="V702">
            <v>0</v>
          </cell>
          <cell r="W702">
            <v>1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BA702">
            <v>0</v>
          </cell>
          <cell r="BB702">
            <v>0</v>
          </cell>
          <cell r="BH702">
            <v>0</v>
          </cell>
          <cell r="BI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U702">
            <v>0</v>
          </cell>
          <cell r="BV702">
            <v>0</v>
          </cell>
          <cell r="BW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N702">
            <v>0</v>
          </cell>
          <cell r="CO702">
            <v>0</v>
          </cell>
          <cell r="CP702">
            <v>0</v>
          </cell>
          <cell r="CS702">
            <v>0</v>
          </cell>
          <cell r="CU702">
            <v>0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1</v>
          </cell>
          <cell r="DH702">
            <v>0</v>
          </cell>
          <cell r="DL702">
            <v>0</v>
          </cell>
          <cell r="DM702">
            <v>0</v>
          </cell>
          <cell r="DO702">
            <v>0</v>
          </cell>
          <cell r="DQ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</row>
        <row r="703"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R703">
            <v>0</v>
          </cell>
          <cell r="V703">
            <v>0</v>
          </cell>
          <cell r="W703">
            <v>16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BA703">
            <v>0</v>
          </cell>
          <cell r="BB703">
            <v>0</v>
          </cell>
          <cell r="BH703">
            <v>0</v>
          </cell>
          <cell r="BI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U703">
            <v>0</v>
          </cell>
          <cell r="BV703">
            <v>0</v>
          </cell>
          <cell r="BW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N703">
            <v>0</v>
          </cell>
          <cell r="CO703">
            <v>0</v>
          </cell>
          <cell r="CP703">
            <v>0</v>
          </cell>
          <cell r="CS703">
            <v>0</v>
          </cell>
          <cell r="CU703">
            <v>0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1</v>
          </cell>
          <cell r="DB703">
            <v>0</v>
          </cell>
          <cell r="DC703">
            <v>0</v>
          </cell>
          <cell r="DD703">
            <v>0</v>
          </cell>
          <cell r="DE703">
            <v>3</v>
          </cell>
          <cell r="DF703">
            <v>5</v>
          </cell>
          <cell r="DG703">
            <v>4</v>
          </cell>
          <cell r="DH703">
            <v>3</v>
          </cell>
          <cell r="DL703">
            <v>0</v>
          </cell>
          <cell r="DM703">
            <v>0</v>
          </cell>
          <cell r="DO703">
            <v>0</v>
          </cell>
          <cell r="DQ703">
            <v>1</v>
          </cell>
          <cell r="DW703">
            <v>0</v>
          </cell>
          <cell r="DX703">
            <v>0</v>
          </cell>
          <cell r="DY703">
            <v>0</v>
          </cell>
          <cell r="DZ703">
            <v>0</v>
          </cell>
          <cell r="EA703">
            <v>0</v>
          </cell>
          <cell r="EB703">
            <v>0</v>
          </cell>
          <cell r="EC703">
            <v>0</v>
          </cell>
        </row>
        <row r="704"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19</v>
          </cell>
          <cell r="I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2</v>
          </cell>
          <cell r="R704">
            <v>0</v>
          </cell>
          <cell r="V704">
            <v>0</v>
          </cell>
          <cell r="W704">
            <v>7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27</v>
          </cell>
          <cell r="AS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BA704">
            <v>0</v>
          </cell>
          <cell r="BB704">
            <v>0</v>
          </cell>
          <cell r="BH704">
            <v>0</v>
          </cell>
          <cell r="BI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11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U704">
            <v>5</v>
          </cell>
          <cell r="BV704">
            <v>4</v>
          </cell>
          <cell r="BW704">
            <v>0</v>
          </cell>
          <cell r="BZ704">
            <v>14</v>
          </cell>
          <cell r="CA704">
            <v>2</v>
          </cell>
          <cell r="CB704">
            <v>27</v>
          </cell>
          <cell r="CC704">
            <v>2</v>
          </cell>
          <cell r="CD704">
            <v>1</v>
          </cell>
          <cell r="CE704">
            <v>1</v>
          </cell>
          <cell r="CH704">
            <v>9</v>
          </cell>
          <cell r="CI704">
            <v>4</v>
          </cell>
          <cell r="CJ704">
            <v>4</v>
          </cell>
          <cell r="CK704">
            <v>9</v>
          </cell>
          <cell r="CN704">
            <v>9</v>
          </cell>
          <cell r="CO704">
            <v>8</v>
          </cell>
          <cell r="CP704">
            <v>4</v>
          </cell>
          <cell r="CS704">
            <v>6</v>
          </cell>
          <cell r="CU704">
            <v>27</v>
          </cell>
          <cell r="CV704">
            <v>4</v>
          </cell>
          <cell r="CW704">
            <v>5</v>
          </cell>
          <cell r="CX704">
            <v>0</v>
          </cell>
          <cell r="CY704">
            <v>1</v>
          </cell>
          <cell r="CZ704">
            <v>8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H704">
            <v>0</v>
          </cell>
          <cell r="DL704">
            <v>3</v>
          </cell>
          <cell r="DM704">
            <v>2</v>
          </cell>
          <cell r="DO704">
            <v>0</v>
          </cell>
          <cell r="DQ704">
            <v>0</v>
          </cell>
          <cell r="DW704">
            <v>13</v>
          </cell>
          <cell r="DX704">
            <v>0</v>
          </cell>
          <cell r="DY704">
            <v>13</v>
          </cell>
          <cell r="DZ704">
            <v>26</v>
          </cell>
          <cell r="EA704">
            <v>0</v>
          </cell>
          <cell r="EB704">
            <v>9</v>
          </cell>
          <cell r="EC704">
            <v>0</v>
          </cell>
        </row>
        <row r="705"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R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BA705">
            <v>0</v>
          </cell>
          <cell r="BB705">
            <v>0</v>
          </cell>
          <cell r="BH705">
            <v>0</v>
          </cell>
          <cell r="BI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U705">
            <v>0</v>
          </cell>
          <cell r="BV705">
            <v>0</v>
          </cell>
          <cell r="BW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1</v>
          </cell>
          <cell r="CN705">
            <v>1</v>
          </cell>
          <cell r="CO705">
            <v>0</v>
          </cell>
          <cell r="CP705">
            <v>0</v>
          </cell>
          <cell r="CS705">
            <v>0</v>
          </cell>
          <cell r="CU705">
            <v>0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H705">
            <v>0</v>
          </cell>
          <cell r="DL705">
            <v>0</v>
          </cell>
          <cell r="DM705">
            <v>0</v>
          </cell>
          <cell r="DO705">
            <v>0</v>
          </cell>
          <cell r="DQ705">
            <v>0</v>
          </cell>
          <cell r="DW705">
            <v>0</v>
          </cell>
          <cell r="DX705">
            <v>0</v>
          </cell>
          <cell r="DY705">
            <v>0</v>
          </cell>
          <cell r="DZ705">
            <v>0</v>
          </cell>
          <cell r="EA705">
            <v>0</v>
          </cell>
          <cell r="EB705">
            <v>0</v>
          </cell>
          <cell r="EC705">
            <v>0</v>
          </cell>
        </row>
        <row r="706"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R706">
            <v>0</v>
          </cell>
          <cell r="V706">
            <v>0</v>
          </cell>
          <cell r="W706">
            <v>1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BA706">
            <v>0</v>
          </cell>
          <cell r="BB706">
            <v>0</v>
          </cell>
          <cell r="BH706">
            <v>0</v>
          </cell>
          <cell r="BI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U706">
            <v>0</v>
          </cell>
          <cell r="BV706">
            <v>0</v>
          </cell>
          <cell r="BW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N706">
            <v>0</v>
          </cell>
          <cell r="CO706">
            <v>0</v>
          </cell>
          <cell r="CP706">
            <v>0</v>
          </cell>
          <cell r="CS706">
            <v>0</v>
          </cell>
          <cell r="CU706">
            <v>0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1</v>
          </cell>
          <cell r="DH706">
            <v>0</v>
          </cell>
          <cell r="DL706">
            <v>0</v>
          </cell>
          <cell r="DM706">
            <v>0</v>
          </cell>
          <cell r="DO706">
            <v>0</v>
          </cell>
          <cell r="DQ706">
            <v>0</v>
          </cell>
          <cell r="DW706">
            <v>0</v>
          </cell>
          <cell r="DX706">
            <v>0</v>
          </cell>
          <cell r="DY706">
            <v>3</v>
          </cell>
          <cell r="DZ706">
            <v>0</v>
          </cell>
          <cell r="EA706">
            <v>0</v>
          </cell>
          <cell r="EB706">
            <v>0</v>
          </cell>
          <cell r="EC706">
            <v>0</v>
          </cell>
        </row>
        <row r="707"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R707">
            <v>0</v>
          </cell>
          <cell r="V707">
            <v>0</v>
          </cell>
          <cell r="W707">
            <v>1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BA707">
            <v>0</v>
          </cell>
          <cell r="BB707">
            <v>0</v>
          </cell>
          <cell r="BH707">
            <v>0</v>
          </cell>
          <cell r="BI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U707">
            <v>0</v>
          </cell>
          <cell r="BV707">
            <v>0</v>
          </cell>
          <cell r="BW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H707">
            <v>1</v>
          </cell>
          <cell r="CI707">
            <v>0</v>
          </cell>
          <cell r="CJ707">
            <v>0</v>
          </cell>
          <cell r="CK707">
            <v>0</v>
          </cell>
          <cell r="CN707">
            <v>0</v>
          </cell>
          <cell r="CO707">
            <v>0</v>
          </cell>
          <cell r="CP707">
            <v>0</v>
          </cell>
          <cell r="CS707">
            <v>0</v>
          </cell>
          <cell r="CU707">
            <v>0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H707">
            <v>1</v>
          </cell>
          <cell r="DL707">
            <v>0</v>
          </cell>
          <cell r="DM707">
            <v>0</v>
          </cell>
          <cell r="DO707">
            <v>0</v>
          </cell>
          <cell r="DQ707">
            <v>0</v>
          </cell>
          <cell r="DW707">
            <v>0</v>
          </cell>
          <cell r="DX707">
            <v>0</v>
          </cell>
          <cell r="DY707">
            <v>0</v>
          </cell>
          <cell r="DZ707">
            <v>0</v>
          </cell>
          <cell r="EA707">
            <v>0</v>
          </cell>
          <cell r="EB707">
            <v>0</v>
          </cell>
          <cell r="EC707">
            <v>0</v>
          </cell>
        </row>
        <row r="708"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R708">
            <v>0</v>
          </cell>
          <cell r="V708">
            <v>0</v>
          </cell>
          <cell r="W708">
            <v>1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BA708">
            <v>0</v>
          </cell>
          <cell r="BB708">
            <v>0</v>
          </cell>
          <cell r="BH708">
            <v>0</v>
          </cell>
          <cell r="BI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U708">
            <v>0</v>
          </cell>
          <cell r="BV708">
            <v>0</v>
          </cell>
          <cell r="BW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N708">
            <v>0</v>
          </cell>
          <cell r="CO708">
            <v>0</v>
          </cell>
          <cell r="CP708">
            <v>0</v>
          </cell>
          <cell r="CS708">
            <v>0</v>
          </cell>
          <cell r="CU708">
            <v>0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1</v>
          </cell>
          <cell r="DH708">
            <v>0</v>
          </cell>
          <cell r="DL708">
            <v>0</v>
          </cell>
          <cell r="DM708">
            <v>0</v>
          </cell>
          <cell r="DO708">
            <v>0</v>
          </cell>
          <cell r="DQ708">
            <v>0</v>
          </cell>
          <cell r="DW708">
            <v>0</v>
          </cell>
          <cell r="DX708">
            <v>0</v>
          </cell>
          <cell r="DY708">
            <v>0</v>
          </cell>
          <cell r="DZ708">
            <v>0</v>
          </cell>
          <cell r="EA708">
            <v>0</v>
          </cell>
          <cell r="EB708">
            <v>0</v>
          </cell>
          <cell r="EC708">
            <v>0</v>
          </cell>
        </row>
        <row r="709"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R709">
            <v>0</v>
          </cell>
          <cell r="V709">
            <v>0</v>
          </cell>
          <cell r="W709">
            <v>1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BA709">
            <v>0</v>
          </cell>
          <cell r="BB709">
            <v>0</v>
          </cell>
          <cell r="BH709">
            <v>0</v>
          </cell>
          <cell r="BI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U709">
            <v>0</v>
          </cell>
          <cell r="BV709">
            <v>0</v>
          </cell>
          <cell r="BW709">
            <v>0</v>
          </cell>
          <cell r="BZ709">
            <v>1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N709">
            <v>0</v>
          </cell>
          <cell r="CO709">
            <v>0</v>
          </cell>
          <cell r="CP709">
            <v>0</v>
          </cell>
          <cell r="CS709">
            <v>0</v>
          </cell>
          <cell r="CU709">
            <v>0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1</v>
          </cell>
          <cell r="DH709">
            <v>0</v>
          </cell>
          <cell r="DL709">
            <v>0</v>
          </cell>
          <cell r="DM709">
            <v>0</v>
          </cell>
          <cell r="DO709">
            <v>0</v>
          </cell>
          <cell r="DQ709">
            <v>0</v>
          </cell>
          <cell r="DW709">
            <v>0</v>
          </cell>
          <cell r="DX709">
            <v>0</v>
          </cell>
          <cell r="DY709">
            <v>0</v>
          </cell>
          <cell r="DZ709">
            <v>0</v>
          </cell>
          <cell r="EA709">
            <v>0</v>
          </cell>
          <cell r="EB709">
            <v>0</v>
          </cell>
          <cell r="EC709">
            <v>0</v>
          </cell>
        </row>
        <row r="710"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R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BA710">
            <v>0</v>
          </cell>
          <cell r="BB710">
            <v>0</v>
          </cell>
          <cell r="BH710">
            <v>0</v>
          </cell>
          <cell r="BI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U710">
            <v>0</v>
          </cell>
          <cell r="BV710">
            <v>0</v>
          </cell>
          <cell r="BW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N710">
            <v>0</v>
          </cell>
          <cell r="CO710">
            <v>0</v>
          </cell>
          <cell r="CP710">
            <v>0</v>
          </cell>
          <cell r="CS710">
            <v>0</v>
          </cell>
          <cell r="CU710">
            <v>0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H710">
            <v>0</v>
          </cell>
          <cell r="DL710">
            <v>0</v>
          </cell>
          <cell r="DM710">
            <v>0</v>
          </cell>
          <cell r="DO710">
            <v>0</v>
          </cell>
          <cell r="DQ710">
            <v>0</v>
          </cell>
          <cell r="DW710">
            <v>0</v>
          </cell>
          <cell r="DX710">
            <v>0</v>
          </cell>
          <cell r="DY710">
            <v>0</v>
          </cell>
          <cell r="DZ710">
            <v>0</v>
          </cell>
          <cell r="EA710">
            <v>0</v>
          </cell>
          <cell r="EB710">
            <v>0</v>
          </cell>
          <cell r="EC710">
            <v>0</v>
          </cell>
        </row>
        <row r="711"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R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BA711">
            <v>0</v>
          </cell>
          <cell r="BB711">
            <v>0</v>
          </cell>
          <cell r="BH711">
            <v>0</v>
          </cell>
          <cell r="BI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U711">
            <v>0</v>
          </cell>
          <cell r="BV711">
            <v>0</v>
          </cell>
          <cell r="BW711">
            <v>0</v>
          </cell>
          <cell r="BZ711">
            <v>0</v>
          </cell>
          <cell r="CA711">
            <v>1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N711">
            <v>0</v>
          </cell>
          <cell r="CO711">
            <v>0</v>
          </cell>
          <cell r="CP711">
            <v>0</v>
          </cell>
          <cell r="CS711">
            <v>0</v>
          </cell>
          <cell r="CU711">
            <v>0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1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L711">
            <v>0</v>
          </cell>
          <cell r="DM711">
            <v>0</v>
          </cell>
          <cell r="DO711">
            <v>0</v>
          </cell>
          <cell r="DQ711">
            <v>0</v>
          </cell>
          <cell r="DW711">
            <v>0</v>
          </cell>
          <cell r="DX711">
            <v>0</v>
          </cell>
          <cell r="DY711">
            <v>0</v>
          </cell>
          <cell r="DZ711">
            <v>0</v>
          </cell>
          <cell r="EA711">
            <v>0</v>
          </cell>
          <cell r="EB711">
            <v>0</v>
          </cell>
          <cell r="EC711">
            <v>0</v>
          </cell>
        </row>
        <row r="712"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R712">
            <v>0</v>
          </cell>
          <cell r="V712">
            <v>0</v>
          </cell>
          <cell r="W712">
            <v>22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BA712">
            <v>0</v>
          </cell>
          <cell r="BB712">
            <v>0</v>
          </cell>
          <cell r="BH712">
            <v>0</v>
          </cell>
          <cell r="BI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U712">
            <v>0</v>
          </cell>
          <cell r="BV712">
            <v>0</v>
          </cell>
          <cell r="BW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N712">
            <v>0</v>
          </cell>
          <cell r="CO712">
            <v>0</v>
          </cell>
          <cell r="CP712">
            <v>0</v>
          </cell>
          <cell r="CS712">
            <v>0</v>
          </cell>
          <cell r="CU712">
            <v>0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1</v>
          </cell>
          <cell r="DF712">
            <v>9</v>
          </cell>
          <cell r="DG712">
            <v>6</v>
          </cell>
          <cell r="DH712">
            <v>5</v>
          </cell>
          <cell r="DL712">
            <v>0</v>
          </cell>
          <cell r="DM712">
            <v>0</v>
          </cell>
          <cell r="DO712">
            <v>0</v>
          </cell>
          <cell r="DQ712">
            <v>1</v>
          </cell>
          <cell r="DW712">
            <v>0</v>
          </cell>
          <cell r="DX712">
            <v>0</v>
          </cell>
          <cell r="DY712">
            <v>0</v>
          </cell>
          <cell r="DZ712">
            <v>0</v>
          </cell>
          <cell r="EA712">
            <v>0</v>
          </cell>
          <cell r="EB712">
            <v>0</v>
          </cell>
          <cell r="EC712">
            <v>0</v>
          </cell>
        </row>
        <row r="713"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R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BA713">
            <v>0</v>
          </cell>
          <cell r="BB713">
            <v>0</v>
          </cell>
          <cell r="BH713">
            <v>0</v>
          </cell>
          <cell r="BI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U713">
            <v>0</v>
          </cell>
          <cell r="BV713">
            <v>0</v>
          </cell>
          <cell r="BW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N713">
            <v>0</v>
          </cell>
          <cell r="CO713">
            <v>0</v>
          </cell>
          <cell r="CP713">
            <v>0</v>
          </cell>
          <cell r="CS713">
            <v>0</v>
          </cell>
          <cell r="CU713">
            <v>0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0</v>
          </cell>
          <cell r="DG713">
            <v>0</v>
          </cell>
          <cell r="DH713">
            <v>0</v>
          </cell>
          <cell r="DL713">
            <v>0</v>
          </cell>
          <cell r="DM713">
            <v>0</v>
          </cell>
          <cell r="DO713">
            <v>0</v>
          </cell>
          <cell r="DQ713">
            <v>0</v>
          </cell>
          <cell r="DW713">
            <v>3</v>
          </cell>
          <cell r="DX713">
            <v>0</v>
          </cell>
          <cell r="DY713">
            <v>0</v>
          </cell>
          <cell r="DZ713">
            <v>0</v>
          </cell>
          <cell r="EA713">
            <v>0</v>
          </cell>
          <cell r="EB713">
            <v>0</v>
          </cell>
          <cell r="EC713">
            <v>0</v>
          </cell>
        </row>
        <row r="714"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24</v>
          </cell>
          <cell r="I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1</v>
          </cell>
          <cell r="R714">
            <v>0</v>
          </cell>
          <cell r="V714">
            <v>0</v>
          </cell>
          <cell r="W714">
            <v>1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5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26</v>
          </cell>
          <cell r="AS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BA714">
            <v>0</v>
          </cell>
          <cell r="BB714">
            <v>0</v>
          </cell>
          <cell r="BH714">
            <v>0</v>
          </cell>
          <cell r="BI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8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U714">
            <v>1</v>
          </cell>
          <cell r="BV714">
            <v>1</v>
          </cell>
          <cell r="BW714">
            <v>1</v>
          </cell>
          <cell r="BZ714">
            <v>1</v>
          </cell>
          <cell r="CA714">
            <v>2</v>
          </cell>
          <cell r="CB714">
            <v>1</v>
          </cell>
          <cell r="CC714">
            <v>3</v>
          </cell>
          <cell r="CD714">
            <v>1</v>
          </cell>
          <cell r="CE714">
            <v>0</v>
          </cell>
          <cell r="CH714">
            <v>14</v>
          </cell>
          <cell r="CI714">
            <v>11</v>
          </cell>
          <cell r="CJ714">
            <v>11</v>
          </cell>
          <cell r="CK714">
            <v>8</v>
          </cell>
          <cell r="CN714">
            <v>10</v>
          </cell>
          <cell r="CO714">
            <v>9</v>
          </cell>
          <cell r="CP714">
            <v>16</v>
          </cell>
          <cell r="CS714">
            <v>6</v>
          </cell>
          <cell r="CU714">
            <v>1</v>
          </cell>
          <cell r="CV714">
            <v>9</v>
          </cell>
          <cell r="CW714">
            <v>5</v>
          </cell>
          <cell r="CX714">
            <v>0</v>
          </cell>
          <cell r="CY714">
            <v>13</v>
          </cell>
          <cell r="CZ714">
            <v>9</v>
          </cell>
          <cell r="DB714">
            <v>3</v>
          </cell>
          <cell r="DC714">
            <v>5</v>
          </cell>
          <cell r="DD714">
            <v>4</v>
          </cell>
          <cell r="DE714">
            <v>0</v>
          </cell>
          <cell r="DF714">
            <v>0</v>
          </cell>
          <cell r="DG714">
            <v>0</v>
          </cell>
          <cell r="DH714">
            <v>0</v>
          </cell>
          <cell r="DL714">
            <v>2</v>
          </cell>
          <cell r="DM714">
            <v>2</v>
          </cell>
          <cell r="DO714">
            <v>0</v>
          </cell>
          <cell r="DQ714">
            <v>0</v>
          </cell>
          <cell r="DW714">
            <v>6</v>
          </cell>
          <cell r="DX714">
            <v>0</v>
          </cell>
          <cell r="DY714">
            <v>6</v>
          </cell>
          <cell r="DZ714">
            <v>21</v>
          </cell>
          <cell r="EA714">
            <v>0</v>
          </cell>
          <cell r="EB714">
            <v>0</v>
          </cell>
          <cell r="EC714">
            <v>4</v>
          </cell>
        </row>
        <row r="715"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R715">
            <v>0</v>
          </cell>
          <cell r="V715">
            <v>0</v>
          </cell>
          <cell r="W715">
            <v>1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1</v>
          </cell>
          <cell r="AS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BA715">
            <v>0</v>
          </cell>
          <cell r="BB715">
            <v>0</v>
          </cell>
          <cell r="BH715">
            <v>0</v>
          </cell>
          <cell r="BI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U715">
            <v>0</v>
          </cell>
          <cell r="BV715">
            <v>0</v>
          </cell>
          <cell r="BW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1</v>
          </cell>
          <cell r="CD715">
            <v>0</v>
          </cell>
          <cell r="CE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2</v>
          </cell>
          <cell r="CN715">
            <v>1</v>
          </cell>
          <cell r="CO715">
            <v>0</v>
          </cell>
          <cell r="CP715">
            <v>0</v>
          </cell>
          <cell r="CS715">
            <v>1</v>
          </cell>
          <cell r="CU715">
            <v>0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H715">
            <v>1</v>
          </cell>
          <cell r="DL715">
            <v>0</v>
          </cell>
          <cell r="DM715">
            <v>0</v>
          </cell>
          <cell r="DO715">
            <v>0</v>
          </cell>
          <cell r="DQ715">
            <v>0</v>
          </cell>
          <cell r="DW715">
            <v>5</v>
          </cell>
          <cell r="DX715">
            <v>0</v>
          </cell>
          <cell r="DY715">
            <v>0</v>
          </cell>
          <cell r="DZ715">
            <v>0</v>
          </cell>
          <cell r="EA715">
            <v>0</v>
          </cell>
          <cell r="EB715">
            <v>0</v>
          </cell>
          <cell r="EC715">
            <v>0</v>
          </cell>
        </row>
        <row r="716"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R716">
            <v>0</v>
          </cell>
          <cell r="V716">
            <v>0</v>
          </cell>
          <cell r="W716">
            <v>4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BA716">
            <v>0</v>
          </cell>
          <cell r="BB716">
            <v>0</v>
          </cell>
          <cell r="BH716">
            <v>0</v>
          </cell>
          <cell r="BI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U716">
            <v>0</v>
          </cell>
          <cell r="BV716">
            <v>1</v>
          </cell>
          <cell r="BW716">
            <v>0</v>
          </cell>
          <cell r="BZ716">
            <v>0</v>
          </cell>
          <cell r="CA716">
            <v>0</v>
          </cell>
          <cell r="CB716">
            <v>2</v>
          </cell>
          <cell r="CC716">
            <v>0</v>
          </cell>
          <cell r="CD716">
            <v>0</v>
          </cell>
          <cell r="CE716">
            <v>0</v>
          </cell>
          <cell r="CH716">
            <v>9</v>
          </cell>
          <cell r="CI716">
            <v>0</v>
          </cell>
          <cell r="CJ716">
            <v>0</v>
          </cell>
          <cell r="CK716">
            <v>0</v>
          </cell>
          <cell r="CN716">
            <v>0</v>
          </cell>
          <cell r="CO716">
            <v>0</v>
          </cell>
          <cell r="CP716">
            <v>0</v>
          </cell>
          <cell r="CS716">
            <v>0</v>
          </cell>
          <cell r="CU716">
            <v>2</v>
          </cell>
          <cell r="CV716">
            <v>2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1</v>
          </cell>
          <cell r="DG716">
            <v>0</v>
          </cell>
          <cell r="DH716">
            <v>3</v>
          </cell>
          <cell r="DL716">
            <v>0</v>
          </cell>
          <cell r="DM716">
            <v>0</v>
          </cell>
          <cell r="DO716">
            <v>0</v>
          </cell>
          <cell r="DQ716">
            <v>0</v>
          </cell>
          <cell r="DW716">
            <v>7</v>
          </cell>
          <cell r="DX716">
            <v>0</v>
          </cell>
          <cell r="DY716">
            <v>0</v>
          </cell>
          <cell r="DZ716">
            <v>0</v>
          </cell>
          <cell r="EA716">
            <v>0</v>
          </cell>
          <cell r="EB716">
            <v>0</v>
          </cell>
          <cell r="EC716">
            <v>0</v>
          </cell>
        </row>
        <row r="717"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R717">
            <v>0</v>
          </cell>
          <cell r="V717">
            <v>0</v>
          </cell>
          <cell r="W717">
            <v>5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BA717">
            <v>0</v>
          </cell>
          <cell r="BB717">
            <v>0</v>
          </cell>
          <cell r="BH717">
            <v>0</v>
          </cell>
          <cell r="BI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U717">
            <v>0</v>
          </cell>
          <cell r="BV717">
            <v>0</v>
          </cell>
          <cell r="BW717">
            <v>1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N717">
            <v>2</v>
          </cell>
          <cell r="CO717">
            <v>0</v>
          </cell>
          <cell r="CP717">
            <v>0</v>
          </cell>
          <cell r="CS717">
            <v>0</v>
          </cell>
          <cell r="CU717">
            <v>0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4</v>
          </cell>
          <cell r="DH717">
            <v>1</v>
          </cell>
          <cell r="DL717">
            <v>0</v>
          </cell>
          <cell r="DM717">
            <v>0</v>
          </cell>
          <cell r="DO717">
            <v>0</v>
          </cell>
          <cell r="DQ717">
            <v>0</v>
          </cell>
          <cell r="DW717">
            <v>23</v>
          </cell>
          <cell r="DX717">
            <v>0</v>
          </cell>
          <cell r="DY717">
            <v>0</v>
          </cell>
          <cell r="DZ717">
            <v>0</v>
          </cell>
          <cell r="EA717">
            <v>0</v>
          </cell>
          <cell r="EB717">
            <v>0</v>
          </cell>
          <cell r="EC717">
            <v>0</v>
          </cell>
        </row>
        <row r="718"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R718">
            <v>0</v>
          </cell>
          <cell r="V718">
            <v>0</v>
          </cell>
          <cell r="W718">
            <v>1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BA718">
            <v>0</v>
          </cell>
          <cell r="BB718">
            <v>0</v>
          </cell>
          <cell r="BH718">
            <v>0</v>
          </cell>
          <cell r="BI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U718">
            <v>0</v>
          </cell>
          <cell r="BV718">
            <v>0</v>
          </cell>
          <cell r="BW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N718">
            <v>0</v>
          </cell>
          <cell r="CO718">
            <v>0</v>
          </cell>
          <cell r="CP718">
            <v>0</v>
          </cell>
          <cell r="CS718">
            <v>0</v>
          </cell>
          <cell r="CU718">
            <v>0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1</v>
          </cell>
          <cell r="DG718">
            <v>0</v>
          </cell>
          <cell r="DH718">
            <v>0</v>
          </cell>
          <cell r="DL718">
            <v>0</v>
          </cell>
          <cell r="DM718">
            <v>0</v>
          </cell>
          <cell r="DO718">
            <v>0</v>
          </cell>
          <cell r="DQ718">
            <v>0</v>
          </cell>
          <cell r="DW718">
            <v>0</v>
          </cell>
          <cell r="DX718">
            <v>0</v>
          </cell>
          <cell r="DY718">
            <v>0</v>
          </cell>
          <cell r="DZ718">
            <v>0</v>
          </cell>
          <cell r="EA718">
            <v>0</v>
          </cell>
          <cell r="EB718">
            <v>0</v>
          </cell>
          <cell r="EC718">
            <v>0</v>
          </cell>
        </row>
        <row r="719"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R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BA719">
            <v>0</v>
          </cell>
          <cell r="BB719">
            <v>0</v>
          </cell>
          <cell r="BH719">
            <v>0</v>
          </cell>
          <cell r="BI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U719">
            <v>0</v>
          </cell>
          <cell r="BV719">
            <v>0</v>
          </cell>
          <cell r="BW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N719">
            <v>0</v>
          </cell>
          <cell r="CO719">
            <v>0</v>
          </cell>
          <cell r="CP719">
            <v>0</v>
          </cell>
          <cell r="CS719">
            <v>0</v>
          </cell>
          <cell r="CU719">
            <v>0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0</v>
          </cell>
          <cell r="DG719">
            <v>0</v>
          </cell>
          <cell r="DH719">
            <v>0</v>
          </cell>
          <cell r="DL719">
            <v>0</v>
          </cell>
          <cell r="DM719">
            <v>0</v>
          </cell>
          <cell r="DO719">
            <v>0</v>
          </cell>
          <cell r="DQ719">
            <v>0</v>
          </cell>
          <cell r="DW719">
            <v>1</v>
          </cell>
          <cell r="DX719">
            <v>0</v>
          </cell>
          <cell r="DY719">
            <v>0</v>
          </cell>
          <cell r="DZ719">
            <v>0</v>
          </cell>
          <cell r="EA719">
            <v>0</v>
          </cell>
          <cell r="EB719">
            <v>0</v>
          </cell>
          <cell r="EC719">
            <v>2</v>
          </cell>
        </row>
        <row r="720"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R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BA720">
            <v>0</v>
          </cell>
          <cell r="BB720">
            <v>0</v>
          </cell>
          <cell r="BH720">
            <v>0</v>
          </cell>
          <cell r="BI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U720">
            <v>0</v>
          </cell>
          <cell r="BV720">
            <v>0</v>
          </cell>
          <cell r="BW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H720">
            <v>6</v>
          </cell>
          <cell r="CI720">
            <v>0</v>
          </cell>
          <cell r="CJ720">
            <v>0</v>
          </cell>
          <cell r="CK720">
            <v>0</v>
          </cell>
          <cell r="CN720">
            <v>0</v>
          </cell>
          <cell r="CO720">
            <v>0</v>
          </cell>
          <cell r="CP720">
            <v>0</v>
          </cell>
          <cell r="CS720">
            <v>0</v>
          </cell>
          <cell r="CU720">
            <v>0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0</v>
          </cell>
          <cell r="DG720">
            <v>0</v>
          </cell>
          <cell r="DH720">
            <v>0</v>
          </cell>
          <cell r="DL720">
            <v>0</v>
          </cell>
          <cell r="DM720">
            <v>0</v>
          </cell>
          <cell r="DO720">
            <v>0</v>
          </cell>
          <cell r="DQ720">
            <v>0</v>
          </cell>
          <cell r="DW720">
            <v>0</v>
          </cell>
          <cell r="DX720">
            <v>0</v>
          </cell>
          <cell r="DY720">
            <v>0</v>
          </cell>
          <cell r="DZ720">
            <v>0</v>
          </cell>
          <cell r="EA720">
            <v>0</v>
          </cell>
          <cell r="EB720">
            <v>0</v>
          </cell>
          <cell r="EC720">
            <v>0</v>
          </cell>
        </row>
        <row r="721"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R721">
            <v>0</v>
          </cell>
          <cell r="V721">
            <v>0</v>
          </cell>
          <cell r="W721">
            <v>1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BA721">
            <v>0</v>
          </cell>
          <cell r="BB721">
            <v>0</v>
          </cell>
          <cell r="BH721">
            <v>0</v>
          </cell>
          <cell r="BI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U721">
            <v>0</v>
          </cell>
          <cell r="BV721">
            <v>0</v>
          </cell>
          <cell r="BW721">
            <v>0</v>
          </cell>
          <cell r="BZ721">
            <v>0</v>
          </cell>
          <cell r="CA721">
            <v>2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H721">
            <v>4</v>
          </cell>
          <cell r="CI721">
            <v>0</v>
          </cell>
          <cell r="CJ721">
            <v>0</v>
          </cell>
          <cell r="CK721">
            <v>0</v>
          </cell>
          <cell r="CN721">
            <v>0</v>
          </cell>
          <cell r="CO721">
            <v>0</v>
          </cell>
          <cell r="CP721">
            <v>0</v>
          </cell>
          <cell r="CS721">
            <v>0</v>
          </cell>
          <cell r="CU721">
            <v>0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1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1</v>
          </cell>
          <cell r="DH721">
            <v>0</v>
          </cell>
          <cell r="DL721">
            <v>0</v>
          </cell>
          <cell r="DM721">
            <v>0</v>
          </cell>
          <cell r="DO721">
            <v>0</v>
          </cell>
          <cell r="DQ721">
            <v>0</v>
          </cell>
          <cell r="DW721">
            <v>0</v>
          </cell>
          <cell r="DX721">
            <v>0</v>
          </cell>
          <cell r="DY721">
            <v>0</v>
          </cell>
          <cell r="DZ721">
            <v>0</v>
          </cell>
          <cell r="EA721">
            <v>0</v>
          </cell>
          <cell r="EB721">
            <v>0</v>
          </cell>
          <cell r="EC721">
            <v>0</v>
          </cell>
        </row>
        <row r="722"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R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BA722">
            <v>0</v>
          </cell>
          <cell r="BB722">
            <v>0</v>
          </cell>
          <cell r="BH722">
            <v>0</v>
          </cell>
          <cell r="BI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U722">
            <v>0</v>
          </cell>
          <cell r="BV722">
            <v>0</v>
          </cell>
          <cell r="BW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N722">
            <v>0</v>
          </cell>
          <cell r="CO722">
            <v>0</v>
          </cell>
          <cell r="CP722">
            <v>0</v>
          </cell>
          <cell r="CS722">
            <v>0</v>
          </cell>
          <cell r="CU722">
            <v>0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H722">
            <v>0</v>
          </cell>
          <cell r="DL722">
            <v>0</v>
          </cell>
          <cell r="DM722">
            <v>0</v>
          </cell>
          <cell r="DO722">
            <v>0</v>
          </cell>
          <cell r="DQ722">
            <v>0</v>
          </cell>
          <cell r="DW722">
            <v>0</v>
          </cell>
          <cell r="DX722">
            <v>0</v>
          </cell>
          <cell r="DY722">
            <v>0</v>
          </cell>
          <cell r="DZ722">
            <v>0</v>
          </cell>
          <cell r="EA722">
            <v>0</v>
          </cell>
          <cell r="EB722">
            <v>0</v>
          </cell>
          <cell r="EC722">
            <v>0</v>
          </cell>
        </row>
        <row r="723"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1</v>
          </cell>
          <cell r="R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BA723">
            <v>0</v>
          </cell>
          <cell r="BB723">
            <v>0</v>
          </cell>
          <cell r="BH723">
            <v>0</v>
          </cell>
          <cell r="BI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U723">
            <v>0</v>
          </cell>
          <cell r="BV723">
            <v>0</v>
          </cell>
          <cell r="BW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N723">
            <v>0</v>
          </cell>
          <cell r="CO723">
            <v>0</v>
          </cell>
          <cell r="CP723">
            <v>0</v>
          </cell>
          <cell r="CS723">
            <v>0</v>
          </cell>
          <cell r="CU723">
            <v>0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0</v>
          </cell>
          <cell r="DG723">
            <v>0</v>
          </cell>
          <cell r="DH723">
            <v>0</v>
          </cell>
          <cell r="DL723">
            <v>0</v>
          </cell>
          <cell r="DM723">
            <v>0</v>
          </cell>
          <cell r="DO723">
            <v>0</v>
          </cell>
          <cell r="DQ723">
            <v>0</v>
          </cell>
          <cell r="DW723">
            <v>0</v>
          </cell>
          <cell r="DX723">
            <v>0</v>
          </cell>
          <cell r="DY723">
            <v>0</v>
          </cell>
          <cell r="DZ723">
            <v>0</v>
          </cell>
          <cell r="EA723">
            <v>0</v>
          </cell>
          <cell r="EB723">
            <v>0</v>
          </cell>
          <cell r="EC723">
            <v>0</v>
          </cell>
        </row>
        <row r="724"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19</v>
          </cell>
          <cell r="I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R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1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BA724">
            <v>0</v>
          </cell>
          <cell r="BB724">
            <v>0</v>
          </cell>
          <cell r="BH724">
            <v>0</v>
          </cell>
          <cell r="BI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U724">
            <v>0</v>
          </cell>
          <cell r="BV724">
            <v>0</v>
          </cell>
          <cell r="BW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N724">
            <v>0</v>
          </cell>
          <cell r="CO724">
            <v>0</v>
          </cell>
          <cell r="CP724">
            <v>0</v>
          </cell>
          <cell r="CS724">
            <v>0</v>
          </cell>
          <cell r="CU724">
            <v>0</v>
          </cell>
          <cell r="CV724">
            <v>2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0</v>
          </cell>
          <cell r="DG724">
            <v>0</v>
          </cell>
          <cell r="DH724">
            <v>0</v>
          </cell>
          <cell r="DL724">
            <v>0</v>
          </cell>
          <cell r="DM724">
            <v>0</v>
          </cell>
          <cell r="DO724">
            <v>0</v>
          </cell>
          <cell r="DQ724">
            <v>0</v>
          </cell>
          <cell r="DW724">
            <v>0</v>
          </cell>
          <cell r="DX724">
            <v>0</v>
          </cell>
          <cell r="DY724">
            <v>0</v>
          </cell>
          <cell r="DZ724">
            <v>8</v>
          </cell>
          <cell r="EA724">
            <v>0</v>
          </cell>
          <cell r="EB724">
            <v>0</v>
          </cell>
          <cell r="EC724">
            <v>0</v>
          </cell>
        </row>
        <row r="725"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R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BA725">
            <v>0</v>
          </cell>
          <cell r="BB725">
            <v>0</v>
          </cell>
          <cell r="BH725">
            <v>0</v>
          </cell>
          <cell r="BI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U725">
            <v>0</v>
          </cell>
          <cell r="BV725">
            <v>0</v>
          </cell>
          <cell r="BW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N725">
            <v>0</v>
          </cell>
          <cell r="CO725">
            <v>0</v>
          </cell>
          <cell r="CP725">
            <v>0</v>
          </cell>
          <cell r="CS725">
            <v>0</v>
          </cell>
          <cell r="CU725">
            <v>0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0</v>
          </cell>
          <cell r="DG725">
            <v>0</v>
          </cell>
          <cell r="DH725">
            <v>0</v>
          </cell>
          <cell r="DL725">
            <v>0</v>
          </cell>
          <cell r="DM725">
            <v>0</v>
          </cell>
          <cell r="DO725">
            <v>0</v>
          </cell>
          <cell r="DQ725">
            <v>0</v>
          </cell>
          <cell r="DW725">
            <v>2</v>
          </cell>
          <cell r="DX725">
            <v>0</v>
          </cell>
          <cell r="DY725">
            <v>0</v>
          </cell>
          <cell r="DZ725">
            <v>0</v>
          </cell>
          <cell r="EA725">
            <v>0</v>
          </cell>
          <cell r="EB725">
            <v>0</v>
          </cell>
          <cell r="EC725">
            <v>0</v>
          </cell>
        </row>
        <row r="726"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R726">
            <v>0</v>
          </cell>
          <cell r="V726">
            <v>0</v>
          </cell>
          <cell r="W726">
            <v>1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BA726">
            <v>0</v>
          </cell>
          <cell r="BB726">
            <v>0</v>
          </cell>
          <cell r="BH726">
            <v>0</v>
          </cell>
          <cell r="BI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U726">
            <v>0</v>
          </cell>
          <cell r="BV726">
            <v>0</v>
          </cell>
          <cell r="BW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N726">
            <v>0</v>
          </cell>
          <cell r="CO726">
            <v>0</v>
          </cell>
          <cell r="CP726">
            <v>0</v>
          </cell>
          <cell r="CS726">
            <v>0</v>
          </cell>
          <cell r="CU726">
            <v>0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1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1</v>
          </cell>
          <cell r="DH726">
            <v>0</v>
          </cell>
          <cell r="DL726">
            <v>0</v>
          </cell>
          <cell r="DM726">
            <v>0</v>
          </cell>
          <cell r="DO726">
            <v>0</v>
          </cell>
          <cell r="DQ726">
            <v>0</v>
          </cell>
          <cell r="DW726">
            <v>0</v>
          </cell>
          <cell r="DX726">
            <v>0</v>
          </cell>
          <cell r="DY726">
            <v>0</v>
          </cell>
          <cell r="DZ726">
            <v>0</v>
          </cell>
          <cell r="EA726">
            <v>0</v>
          </cell>
          <cell r="EB726">
            <v>0</v>
          </cell>
          <cell r="EC726">
            <v>0</v>
          </cell>
        </row>
        <row r="727"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1</v>
          </cell>
          <cell r="R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BA727">
            <v>0</v>
          </cell>
          <cell r="BB727">
            <v>0</v>
          </cell>
          <cell r="BH727">
            <v>0</v>
          </cell>
          <cell r="BI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U727">
            <v>0</v>
          </cell>
          <cell r="BV727">
            <v>0</v>
          </cell>
          <cell r="BW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N727">
            <v>0</v>
          </cell>
          <cell r="CO727">
            <v>0</v>
          </cell>
          <cell r="CP727">
            <v>0</v>
          </cell>
          <cell r="CS727">
            <v>0</v>
          </cell>
          <cell r="CU727">
            <v>0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H727">
            <v>0</v>
          </cell>
          <cell r="DL727">
            <v>0</v>
          </cell>
          <cell r="DM727">
            <v>0</v>
          </cell>
          <cell r="DO727">
            <v>0</v>
          </cell>
          <cell r="DQ727">
            <v>0</v>
          </cell>
          <cell r="DW727">
            <v>1</v>
          </cell>
          <cell r="DX727">
            <v>0</v>
          </cell>
          <cell r="DY727">
            <v>0</v>
          </cell>
          <cell r="DZ727">
            <v>0</v>
          </cell>
          <cell r="EA727">
            <v>0</v>
          </cell>
          <cell r="EB727">
            <v>0</v>
          </cell>
          <cell r="EC727">
            <v>0</v>
          </cell>
        </row>
        <row r="728"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R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BA728">
            <v>0</v>
          </cell>
          <cell r="BB728">
            <v>0</v>
          </cell>
          <cell r="BH728">
            <v>0</v>
          </cell>
          <cell r="BI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U728">
            <v>0</v>
          </cell>
          <cell r="BV728">
            <v>0</v>
          </cell>
          <cell r="BW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N728">
            <v>0</v>
          </cell>
          <cell r="CO728">
            <v>0</v>
          </cell>
          <cell r="CP728">
            <v>0</v>
          </cell>
          <cell r="CS728">
            <v>0</v>
          </cell>
          <cell r="CU728">
            <v>0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1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H728">
            <v>0</v>
          </cell>
          <cell r="DL728">
            <v>0</v>
          </cell>
          <cell r="DM728">
            <v>0</v>
          </cell>
          <cell r="DO728">
            <v>0</v>
          </cell>
          <cell r="DQ728">
            <v>0</v>
          </cell>
          <cell r="DW728">
            <v>0</v>
          </cell>
          <cell r="DX728">
            <v>0</v>
          </cell>
          <cell r="DY728">
            <v>0</v>
          </cell>
          <cell r="DZ728">
            <v>0</v>
          </cell>
          <cell r="EA728">
            <v>0</v>
          </cell>
          <cell r="EB728">
            <v>0</v>
          </cell>
          <cell r="EC728">
            <v>0</v>
          </cell>
        </row>
        <row r="729"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R729">
            <v>0</v>
          </cell>
          <cell r="V729">
            <v>0</v>
          </cell>
          <cell r="W729">
            <v>1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BA729">
            <v>0</v>
          </cell>
          <cell r="BB729">
            <v>0</v>
          </cell>
          <cell r="BH729">
            <v>0</v>
          </cell>
          <cell r="BI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U729">
            <v>0</v>
          </cell>
          <cell r="BV729">
            <v>0</v>
          </cell>
          <cell r="BW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2</v>
          </cell>
          <cell r="CN729">
            <v>2</v>
          </cell>
          <cell r="CO729">
            <v>1</v>
          </cell>
          <cell r="CP729">
            <v>1</v>
          </cell>
          <cell r="CS729">
            <v>0</v>
          </cell>
          <cell r="CU729">
            <v>0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1</v>
          </cell>
          <cell r="DG729">
            <v>0</v>
          </cell>
          <cell r="DH729">
            <v>0</v>
          </cell>
          <cell r="DL729">
            <v>1</v>
          </cell>
          <cell r="DM729">
            <v>1</v>
          </cell>
          <cell r="DO729">
            <v>0</v>
          </cell>
          <cell r="DQ729">
            <v>0</v>
          </cell>
          <cell r="DW729">
            <v>0</v>
          </cell>
          <cell r="DX729">
            <v>0</v>
          </cell>
          <cell r="DY729">
            <v>0</v>
          </cell>
          <cell r="DZ729">
            <v>0</v>
          </cell>
          <cell r="EA729">
            <v>0</v>
          </cell>
          <cell r="EB729">
            <v>0</v>
          </cell>
          <cell r="EC729">
            <v>0</v>
          </cell>
        </row>
        <row r="730"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R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BA730">
            <v>0</v>
          </cell>
          <cell r="BB730">
            <v>0</v>
          </cell>
          <cell r="BH730">
            <v>0</v>
          </cell>
          <cell r="BI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U730">
            <v>0</v>
          </cell>
          <cell r="BV730">
            <v>0</v>
          </cell>
          <cell r="BW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N730">
            <v>0</v>
          </cell>
          <cell r="CO730">
            <v>0</v>
          </cell>
          <cell r="CP730">
            <v>0</v>
          </cell>
          <cell r="CS730">
            <v>0</v>
          </cell>
          <cell r="CU730">
            <v>0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H730">
            <v>0</v>
          </cell>
          <cell r="DL730">
            <v>0</v>
          </cell>
          <cell r="DM730">
            <v>0</v>
          </cell>
          <cell r="DO730">
            <v>0</v>
          </cell>
          <cell r="DQ730">
            <v>0</v>
          </cell>
          <cell r="DW730">
            <v>0</v>
          </cell>
          <cell r="DX730">
            <v>0</v>
          </cell>
          <cell r="DY730">
            <v>0</v>
          </cell>
          <cell r="DZ730">
            <v>0</v>
          </cell>
          <cell r="EA730">
            <v>0</v>
          </cell>
          <cell r="EB730">
            <v>0</v>
          </cell>
          <cell r="EC730">
            <v>0</v>
          </cell>
        </row>
        <row r="731"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R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BA731">
            <v>0</v>
          </cell>
          <cell r="BB731">
            <v>0</v>
          </cell>
          <cell r="BH731">
            <v>0</v>
          </cell>
          <cell r="BI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U731">
            <v>0</v>
          </cell>
          <cell r="BV731">
            <v>0</v>
          </cell>
          <cell r="BW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N731">
            <v>0</v>
          </cell>
          <cell r="CO731">
            <v>0</v>
          </cell>
          <cell r="CP731">
            <v>0</v>
          </cell>
          <cell r="CS731">
            <v>0</v>
          </cell>
          <cell r="CU731">
            <v>0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H731">
            <v>0</v>
          </cell>
          <cell r="DL731">
            <v>0</v>
          </cell>
          <cell r="DM731">
            <v>0</v>
          </cell>
          <cell r="DO731">
            <v>0</v>
          </cell>
          <cell r="DQ731">
            <v>0</v>
          </cell>
          <cell r="DW731">
            <v>3</v>
          </cell>
          <cell r="DX731">
            <v>0</v>
          </cell>
          <cell r="DY731">
            <v>0</v>
          </cell>
          <cell r="DZ731">
            <v>0</v>
          </cell>
          <cell r="EA731">
            <v>0</v>
          </cell>
          <cell r="EB731">
            <v>0</v>
          </cell>
          <cell r="EC731">
            <v>0</v>
          </cell>
        </row>
        <row r="732"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R732">
            <v>0</v>
          </cell>
          <cell r="V732">
            <v>0</v>
          </cell>
          <cell r="W732">
            <v>1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BA732">
            <v>0</v>
          </cell>
          <cell r="BB732">
            <v>0</v>
          </cell>
          <cell r="BH732">
            <v>0</v>
          </cell>
          <cell r="BI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U732">
            <v>0</v>
          </cell>
          <cell r="BV732">
            <v>0</v>
          </cell>
          <cell r="BW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N732">
            <v>0</v>
          </cell>
          <cell r="CO732">
            <v>0</v>
          </cell>
          <cell r="CP732">
            <v>0</v>
          </cell>
          <cell r="CS732">
            <v>0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1</v>
          </cell>
          <cell r="DH732">
            <v>0</v>
          </cell>
          <cell r="DL732">
            <v>0</v>
          </cell>
          <cell r="DM732">
            <v>0</v>
          </cell>
          <cell r="DO732">
            <v>0</v>
          </cell>
          <cell r="DQ732">
            <v>0</v>
          </cell>
          <cell r="DW732">
            <v>0</v>
          </cell>
          <cell r="DX732">
            <v>0</v>
          </cell>
          <cell r="DY732">
            <v>0</v>
          </cell>
          <cell r="DZ732">
            <v>0</v>
          </cell>
          <cell r="EA732">
            <v>0</v>
          </cell>
          <cell r="EB732">
            <v>0</v>
          </cell>
          <cell r="EC732">
            <v>0</v>
          </cell>
        </row>
        <row r="733"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R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BA733">
            <v>0</v>
          </cell>
          <cell r="BB733">
            <v>0</v>
          </cell>
          <cell r="BH733">
            <v>0</v>
          </cell>
          <cell r="BI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U733">
            <v>0</v>
          </cell>
          <cell r="BV733">
            <v>0</v>
          </cell>
          <cell r="BW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N733">
            <v>0</v>
          </cell>
          <cell r="CO733">
            <v>0</v>
          </cell>
          <cell r="CP733">
            <v>0</v>
          </cell>
          <cell r="CS733">
            <v>0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H733">
            <v>0</v>
          </cell>
          <cell r="DL733">
            <v>0</v>
          </cell>
          <cell r="DM733">
            <v>0</v>
          </cell>
          <cell r="DO733">
            <v>0</v>
          </cell>
          <cell r="DQ733">
            <v>0</v>
          </cell>
          <cell r="DW733">
            <v>0</v>
          </cell>
          <cell r="DX733">
            <v>0</v>
          </cell>
          <cell r="DY733">
            <v>0</v>
          </cell>
          <cell r="DZ733">
            <v>0</v>
          </cell>
          <cell r="EA733">
            <v>0</v>
          </cell>
          <cell r="EB733">
            <v>0</v>
          </cell>
          <cell r="EC733">
            <v>0</v>
          </cell>
        </row>
        <row r="734"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R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BA734">
            <v>0</v>
          </cell>
          <cell r="BB734">
            <v>0</v>
          </cell>
          <cell r="BH734">
            <v>0</v>
          </cell>
          <cell r="BI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U734">
            <v>0</v>
          </cell>
          <cell r="BV734">
            <v>0</v>
          </cell>
          <cell r="BW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H734">
            <v>0</v>
          </cell>
          <cell r="CI734">
            <v>1</v>
          </cell>
          <cell r="CJ734">
            <v>1</v>
          </cell>
          <cell r="CK734">
            <v>0</v>
          </cell>
          <cell r="CN734">
            <v>0</v>
          </cell>
          <cell r="CO734">
            <v>0</v>
          </cell>
          <cell r="CP734">
            <v>0</v>
          </cell>
          <cell r="CS734">
            <v>0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H734">
            <v>0</v>
          </cell>
          <cell r="DL734">
            <v>0</v>
          </cell>
          <cell r="DM734">
            <v>0</v>
          </cell>
          <cell r="DO734">
            <v>0</v>
          </cell>
          <cell r="DQ734">
            <v>0</v>
          </cell>
          <cell r="DW734">
            <v>0</v>
          </cell>
          <cell r="DX734">
            <v>0</v>
          </cell>
          <cell r="DY734">
            <v>0</v>
          </cell>
          <cell r="DZ734">
            <v>0</v>
          </cell>
          <cell r="EA734">
            <v>0</v>
          </cell>
          <cell r="EB734">
            <v>0</v>
          </cell>
          <cell r="EC734">
            <v>0</v>
          </cell>
        </row>
        <row r="735"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R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BA735">
            <v>0</v>
          </cell>
          <cell r="BB735">
            <v>0</v>
          </cell>
          <cell r="BH735">
            <v>0</v>
          </cell>
          <cell r="BI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U735">
            <v>0</v>
          </cell>
          <cell r="BV735">
            <v>0</v>
          </cell>
          <cell r="BW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H735">
            <v>1</v>
          </cell>
          <cell r="CI735">
            <v>0</v>
          </cell>
          <cell r="CJ735">
            <v>0</v>
          </cell>
          <cell r="CK735">
            <v>0</v>
          </cell>
          <cell r="CN735">
            <v>0</v>
          </cell>
          <cell r="CO735">
            <v>0</v>
          </cell>
          <cell r="CP735">
            <v>0</v>
          </cell>
          <cell r="CS735">
            <v>0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H735">
            <v>0</v>
          </cell>
          <cell r="DL735">
            <v>0</v>
          </cell>
          <cell r="DM735">
            <v>0</v>
          </cell>
          <cell r="DO735">
            <v>0</v>
          </cell>
          <cell r="DQ735">
            <v>0</v>
          </cell>
          <cell r="DW735">
            <v>0</v>
          </cell>
          <cell r="DX735">
            <v>0</v>
          </cell>
          <cell r="DY735">
            <v>0</v>
          </cell>
          <cell r="DZ735">
            <v>0</v>
          </cell>
          <cell r="EA735">
            <v>0</v>
          </cell>
          <cell r="EB735">
            <v>0</v>
          </cell>
          <cell r="EC735">
            <v>0</v>
          </cell>
        </row>
        <row r="736"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R736">
            <v>0</v>
          </cell>
          <cell r="V736">
            <v>0</v>
          </cell>
          <cell r="W736">
            <v>1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BA736">
            <v>0</v>
          </cell>
          <cell r="BB736">
            <v>0</v>
          </cell>
          <cell r="BH736">
            <v>0</v>
          </cell>
          <cell r="BI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U736">
            <v>0</v>
          </cell>
          <cell r="BV736">
            <v>0</v>
          </cell>
          <cell r="BW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H736">
            <v>1</v>
          </cell>
          <cell r="CI736">
            <v>0</v>
          </cell>
          <cell r="CJ736">
            <v>0</v>
          </cell>
          <cell r="CK736">
            <v>0</v>
          </cell>
          <cell r="CN736">
            <v>0</v>
          </cell>
          <cell r="CO736">
            <v>0</v>
          </cell>
          <cell r="CP736">
            <v>0</v>
          </cell>
          <cell r="CS736">
            <v>0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1</v>
          </cell>
          <cell r="DG736">
            <v>0</v>
          </cell>
          <cell r="DH736">
            <v>0</v>
          </cell>
          <cell r="DL736">
            <v>0</v>
          </cell>
          <cell r="DM736">
            <v>0</v>
          </cell>
          <cell r="DO736">
            <v>0</v>
          </cell>
          <cell r="DQ736">
            <v>0</v>
          </cell>
          <cell r="DW736">
            <v>0</v>
          </cell>
          <cell r="DX736">
            <v>0</v>
          </cell>
          <cell r="DY736">
            <v>0</v>
          </cell>
          <cell r="DZ736">
            <v>0</v>
          </cell>
          <cell r="EA736">
            <v>0</v>
          </cell>
          <cell r="EB736">
            <v>0</v>
          </cell>
          <cell r="EC736">
            <v>0</v>
          </cell>
        </row>
        <row r="737"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R737">
            <v>0</v>
          </cell>
          <cell r="V737">
            <v>0</v>
          </cell>
          <cell r="W737">
            <v>1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BA737">
            <v>0</v>
          </cell>
          <cell r="BB737">
            <v>0</v>
          </cell>
          <cell r="BH737">
            <v>0</v>
          </cell>
          <cell r="BI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U737">
            <v>0</v>
          </cell>
          <cell r="BV737">
            <v>0</v>
          </cell>
          <cell r="BW737">
            <v>0</v>
          </cell>
          <cell r="BZ737">
            <v>0</v>
          </cell>
          <cell r="CA737">
            <v>1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H737">
            <v>1</v>
          </cell>
          <cell r="CI737">
            <v>0</v>
          </cell>
          <cell r="CJ737">
            <v>0</v>
          </cell>
          <cell r="CK737">
            <v>0</v>
          </cell>
          <cell r="CN737">
            <v>0</v>
          </cell>
          <cell r="CO737">
            <v>0</v>
          </cell>
          <cell r="CP737">
            <v>0</v>
          </cell>
          <cell r="CS737">
            <v>0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1</v>
          </cell>
          <cell r="DH737">
            <v>0</v>
          </cell>
          <cell r="DL737">
            <v>0</v>
          </cell>
          <cell r="DM737">
            <v>0</v>
          </cell>
          <cell r="DO737">
            <v>0</v>
          </cell>
          <cell r="DQ737">
            <v>0</v>
          </cell>
          <cell r="DW737">
            <v>0</v>
          </cell>
          <cell r="DX737">
            <v>0</v>
          </cell>
          <cell r="DY737">
            <v>0</v>
          </cell>
          <cell r="DZ737">
            <v>0</v>
          </cell>
          <cell r="EA737">
            <v>0</v>
          </cell>
          <cell r="EB737">
            <v>0</v>
          </cell>
          <cell r="EC737">
            <v>0</v>
          </cell>
        </row>
        <row r="738"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R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BA738">
            <v>0</v>
          </cell>
          <cell r="BB738">
            <v>0</v>
          </cell>
          <cell r="BH738">
            <v>0</v>
          </cell>
          <cell r="BI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U738">
            <v>3</v>
          </cell>
          <cell r="BV738">
            <v>0</v>
          </cell>
          <cell r="BW738">
            <v>1</v>
          </cell>
          <cell r="BZ738">
            <v>14</v>
          </cell>
          <cell r="CA738">
            <v>0</v>
          </cell>
          <cell r="CB738">
            <v>21</v>
          </cell>
          <cell r="CC738">
            <v>0</v>
          </cell>
          <cell r="CD738">
            <v>0</v>
          </cell>
          <cell r="CE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N738">
            <v>0</v>
          </cell>
          <cell r="CO738">
            <v>0</v>
          </cell>
          <cell r="CP738">
            <v>0</v>
          </cell>
          <cell r="CS738">
            <v>0</v>
          </cell>
          <cell r="CU738">
            <v>21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H738">
            <v>0</v>
          </cell>
          <cell r="DL738">
            <v>0</v>
          </cell>
          <cell r="DM738">
            <v>0</v>
          </cell>
          <cell r="DO738">
            <v>0</v>
          </cell>
          <cell r="DQ738">
            <v>0</v>
          </cell>
          <cell r="DW738">
            <v>3</v>
          </cell>
          <cell r="DX738">
            <v>0</v>
          </cell>
          <cell r="DY738">
            <v>0</v>
          </cell>
          <cell r="DZ738">
            <v>0</v>
          </cell>
          <cell r="EA738">
            <v>0</v>
          </cell>
          <cell r="EB738">
            <v>0</v>
          </cell>
          <cell r="EC738">
            <v>2</v>
          </cell>
        </row>
        <row r="739"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R739">
            <v>0</v>
          </cell>
          <cell r="V739">
            <v>0</v>
          </cell>
          <cell r="W739">
            <v>2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BA739">
            <v>0</v>
          </cell>
          <cell r="BB739">
            <v>0</v>
          </cell>
          <cell r="BH739">
            <v>0</v>
          </cell>
          <cell r="BI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U739">
            <v>0</v>
          </cell>
          <cell r="BV739">
            <v>0</v>
          </cell>
          <cell r="BW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N739">
            <v>0</v>
          </cell>
          <cell r="CO739">
            <v>7</v>
          </cell>
          <cell r="CP739">
            <v>1</v>
          </cell>
          <cell r="CS739">
            <v>0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1</v>
          </cell>
          <cell r="CZ739">
            <v>1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2</v>
          </cell>
          <cell r="DH739">
            <v>0</v>
          </cell>
          <cell r="DL739">
            <v>0</v>
          </cell>
          <cell r="DM739">
            <v>0</v>
          </cell>
          <cell r="DO739">
            <v>0</v>
          </cell>
          <cell r="DQ739">
            <v>0</v>
          </cell>
          <cell r="DW739">
            <v>0</v>
          </cell>
          <cell r="DX739">
            <v>0</v>
          </cell>
          <cell r="DY739">
            <v>0</v>
          </cell>
          <cell r="DZ739">
            <v>0</v>
          </cell>
          <cell r="EA739">
            <v>0</v>
          </cell>
          <cell r="EB739">
            <v>4</v>
          </cell>
          <cell r="EC739">
            <v>2</v>
          </cell>
        </row>
        <row r="740"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R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BA740">
            <v>0</v>
          </cell>
          <cell r="BB740">
            <v>0</v>
          </cell>
          <cell r="BH740">
            <v>0</v>
          </cell>
          <cell r="BI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U740">
            <v>0</v>
          </cell>
          <cell r="BV740">
            <v>0</v>
          </cell>
          <cell r="BW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H740">
            <v>1</v>
          </cell>
          <cell r="CI740">
            <v>0</v>
          </cell>
          <cell r="CJ740">
            <v>0</v>
          </cell>
          <cell r="CK740">
            <v>0</v>
          </cell>
          <cell r="CN740">
            <v>0</v>
          </cell>
          <cell r="CO740">
            <v>0</v>
          </cell>
          <cell r="CP740">
            <v>0</v>
          </cell>
          <cell r="CS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>
            <v>0</v>
          </cell>
          <cell r="DL740">
            <v>0</v>
          </cell>
          <cell r="DM740">
            <v>0</v>
          </cell>
          <cell r="DO740">
            <v>0</v>
          </cell>
          <cell r="DQ740">
            <v>0</v>
          </cell>
          <cell r="DW740">
            <v>0</v>
          </cell>
          <cell r="DX740">
            <v>0</v>
          </cell>
          <cell r="DY740">
            <v>0</v>
          </cell>
          <cell r="DZ740">
            <v>0</v>
          </cell>
          <cell r="EA740">
            <v>0</v>
          </cell>
          <cell r="EB740">
            <v>0</v>
          </cell>
          <cell r="EC740">
            <v>0</v>
          </cell>
        </row>
        <row r="741"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R741">
            <v>0</v>
          </cell>
          <cell r="V741">
            <v>0</v>
          </cell>
          <cell r="W741">
            <v>1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16</v>
          </cell>
          <cell r="AS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BA741">
            <v>0</v>
          </cell>
          <cell r="BB741">
            <v>0</v>
          </cell>
          <cell r="BH741">
            <v>0</v>
          </cell>
          <cell r="BI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U741">
            <v>0</v>
          </cell>
          <cell r="BV741">
            <v>0</v>
          </cell>
          <cell r="BW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N741">
            <v>0</v>
          </cell>
          <cell r="CO741">
            <v>0</v>
          </cell>
          <cell r="CP741">
            <v>0</v>
          </cell>
          <cell r="CS741">
            <v>0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1</v>
          </cell>
          <cell r="DH741">
            <v>0</v>
          </cell>
          <cell r="DL741">
            <v>0</v>
          </cell>
          <cell r="DM741">
            <v>0</v>
          </cell>
          <cell r="DO741">
            <v>0</v>
          </cell>
          <cell r="DQ741">
            <v>0</v>
          </cell>
          <cell r="DW741">
            <v>1</v>
          </cell>
          <cell r="DX741">
            <v>0</v>
          </cell>
          <cell r="DY741">
            <v>0</v>
          </cell>
          <cell r="DZ741">
            <v>0</v>
          </cell>
          <cell r="EA741">
            <v>0</v>
          </cell>
          <cell r="EB741">
            <v>0</v>
          </cell>
          <cell r="EC741">
            <v>0</v>
          </cell>
        </row>
        <row r="742"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R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BA742">
            <v>0</v>
          </cell>
          <cell r="BB742">
            <v>0</v>
          </cell>
          <cell r="BH742">
            <v>0</v>
          </cell>
          <cell r="BI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U742">
            <v>0</v>
          </cell>
          <cell r="BV742">
            <v>0</v>
          </cell>
          <cell r="BW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N742">
            <v>0</v>
          </cell>
          <cell r="CO742">
            <v>0</v>
          </cell>
          <cell r="CP742">
            <v>0</v>
          </cell>
          <cell r="CS742">
            <v>0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H742">
            <v>0</v>
          </cell>
          <cell r="DL742">
            <v>0</v>
          </cell>
          <cell r="DM742">
            <v>0</v>
          </cell>
          <cell r="DO742">
            <v>0</v>
          </cell>
          <cell r="DQ742">
            <v>0</v>
          </cell>
          <cell r="DW742">
            <v>0</v>
          </cell>
          <cell r="DX742">
            <v>0</v>
          </cell>
          <cell r="DY742">
            <v>0</v>
          </cell>
          <cell r="DZ742">
            <v>0</v>
          </cell>
          <cell r="EA742">
            <v>0</v>
          </cell>
          <cell r="EB742">
            <v>0</v>
          </cell>
          <cell r="EC742">
            <v>0</v>
          </cell>
        </row>
        <row r="743"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R743">
            <v>0</v>
          </cell>
          <cell r="V743">
            <v>0</v>
          </cell>
          <cell r="W743">
            <v>1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BA743">
            <v>0</v>
          </cell>
          <cell r="BB743">
            <v>0</v>
          </cell>
          <cell r="BH743">
            <v>0</v>
          </cell>
          <cell r="BI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U743">
            <v>0</v>
          </cell>
          <cell r="BV743">
            <v>0</v>
          </cell>
          <cell r="BW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N743">
            <v>0</v>
          </cell>
          <cell r="CO743">
            <v>0</v>
          </cell>
          <cell r="CP743">
            <v>0</v>
          </cell>
          <cell r="CS743">
            <v>0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1</v>
          </cell>
          <cell r="DG743">
            <v>0</v>
          </cell>
          <cell r="DH743">
            <v>0</v>
          </cell>
          <cell r="DL743">
            <v>0</v>
          </cell>
          <cell r="DM743">
            <v>0</v>
          </cell>
          <cell r="DO743">
            <v>0</v>
          </cell>
          <cell r="DQ743">
            <v>0</v>
          </cell>
          <cell r="DW743">
            <v>0</v>
          </cell>
          <cell r="DX743">
            <v>0</v>
          </cell>
          <cell r="DY743">
            <v>0</v>
          </cell>
          <cell r="DZ743">
            <v>0</v>
          </cell>
          <cell r="EA743">
            <v>0</v>
          </cell>
          <cell r="EB743">
            <v>0</v>
          </cell>
          <cell r="EC743">
            <v>0</v>
          </cell>
        </row>
        <row r="744"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R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BA744">
            <v>0</v>
          </cell>
          <cell r="BB744">
            <v>0</v>
          </cell>
          <cell r="BH744">
            <v>0</v>
          </cell>
          <cell r="BI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U744">
            <v>0</v>
          </cell>
          <cell r="BV744">
            <v>0</v>
          </cell>
          <cell r="BW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N744">
            <v>0</v>
          </cell>
          <cell r="CO744">
            <v>0</v>
          </cell>
          <cell r="CP744">
            <v>0</v>
          </cell>
          <cell r="CS744">
            <v>0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H744">
            <v>0</v>
          </cell>
          <cell r="DL744">
            <v>0</v>
          </cell>
          <cell r="DM744">
            <v>0</v>
          </cell>
          <cell r="DO744">
            <v>0</v>
          </cell>
          <cell r="DQ744">
            <v>0</v>
          </cell>
          <cell r="DW744">
            <v>0</v>
          </cell>
          <cell r="DX744">
            <v>0</v>
          </cell>
          <cell r="DY744">
            <v>0</v>
          </cell>
          <cell r="DZ744">
            <v>0</v>
          </cell>
          <cell r="EA744">
            <v>0</v>
          </cell>
          <cell r="EB744">
            <v>3</v>
          </cell>
          <cell r="EC744">
            <v>0</v>
          </cell>
        </row>
        <row r="745"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R745">
            <v>0</v>
          </cell>
          <cell r="V745">
            <v>0</v>
          </cell>
          <cell r="W745">
            <v>2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BA745">
            <v>0</v>
          </cell>
          <cell r="BB745">
            <v>0</v>
          </cell>
          <cell r="BH745">
            <v>0</v>
          </cell>
          <cell r="BI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1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U745">
            <v>0</v>
          </cell>
          <cell r="BV745">
            <v>1</v>
          </cell>
          <cell r="BW745">
            <v>0</v>
          </cell>
          <cell r="BZ745">
            <v>1</v>
          </cell>
          <cell r="CA745">
            <v>2</v>
          </cell>
          <cell r="CB745">
            <v>1</v>
          </cell>
          <cell r="CC745">
            <v>1</v>
          </cell>
          <cell r="CD745">
            <v>0</v>
          </cell>
          <cell r="CE745">
            <v>0</v>
          </cell>
          <cell r="CH745">
            <v>1</v>
          </cell>
          <cell r="CI745">
            <v>5</v>
          </cell>
          <cell r="CJ745">
            <v>5</v>
          </cell>
          <cell r="CK745">
            <v>0</v>
          </cell>
          <cell r="CN745">
            <v>0</v>
          </cell>
          <cell r="CO745">
            <v>0</v>
          </cell>
          <cell r="CP745">
            <v>0</v>
          </cell>
          <cell r="CS745">
            <v>0</v>
          </cell>
          <cell r="CU745">
            <v>1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1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H745">
            <v>0</v>
          </cell>
          <cell r="DL745">
            <v>0</v>
          </cell>
          <cell r="DM745">
            <v>0</v>
          </cell>
          <cell r="DO745">
            <v>0</v>
          </cell>
          <cell r="DQ745">
            <v>0</v>
          </cell>
          <cell r="DW745">
            <v>11</v>
          </cell>
          <cell r="DX745">
            <v>0</v>
          </cell>
          <cell r="DY745">
            <v>0</v>
          </cell>
          <cell r="DZ745">
            <v>6</v>
          </cell>
          <cell r="EA745">
            <v>0</v>
          </cell>
          <cell r="EB745">
            <v>0</v>
          </cell>
          <cell r="EC745">
            <v>0</v>
          </cell>
        </row>
        <row r="746"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R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BA746">
            <v>0</v>
          </cell>
          <cell r="BB746">
            <v>0</v>
          </cell>
          <cell r="BH746">
            <v>0</v>
          </cell>
          <cell r="BI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U746">
            <v>0</v>
          </cell>
          <cell r="BV746">
            <v>0</v>
          </cell>
          <cell r="BW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N746">
            <v>0</v>
          </cell>
          <cell r="CO746">
            <v>0</v>
          </cell>
          <cell r="CP746">
            <v>0</v>
          </cell>
          <cell r="CS746">
            <v>0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H746">
            <v>0</v>
          </cell>
          <cell r="DL746">
            <v>0</v>
          </cell>
          <cell r="DM746">
            <v>0</v>
          </cell>
          <cell r="DO746">
            <v>0</v>
          </cell>
          <cell r="DQ746">
            <v>0</v>
          </cell>
          <cell r="DW746">
            <v>0</v>
          </cell>
          <cell r="DX746">
            <v>0</v>
          </cell>
          <cell r="DY746">
            <v>3</v>
          </cell>
          <cell r="DZ746">
            <v>0</v>
          </cell>
          <cell r="EA746">
            <v>0</v>
          </cell>
          <cell r="EB746">
            <v>0</v>
          </cell>
          <cell r="EC746">
            <v>0</v>
          </cell>
        </row>
        <row r="747"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R747">
            <v>0</v>
          </cell>
          <cell r="V747">
            <v>0</v>
          </cell>
          <cell r="W747">
            <v>3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BA747">
            <v>0</v>
          </cell>
          <cell r="BB747">
            <v>0</v>
          </cell>
          <cell r="BH747">
            <v>0</v>
          </cell>
          <cell r="BI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U747">
            <v>0</v>
          </cell>
          <cell r="BV747">
            <v>0</v>
          </cell>
          <cell r="BW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N747">
            <v>0</v>
          </cell>
          <cell r="CO747">
            <v>0</v>
          </cell>
          <cell r="CP747">
            <v>0</v>
          </cell>
          <cell r="CS747">
            <v>0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4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1</v>
          </cell>
          <cell r="DG747">
            <v>0</v>
          </cell>
          <cell r="DH747">
            <v>2</v>
          </cell>
          <cell r="DL747">
            <v>0</v>
          </cell>
          <cell r="DM747">
            <v>0</v>
          </cell>
          <cell r="DO747">
            <v>0</v>
          </cell>
          <cell r="DQ747">
            <v>0</v>
          </cell>
          <cell r="DW747">
            <v>0</v>
          </cell>
          <cell r="DX747">
            <v>0</v>
          </cell>
          <cell r="DY747">
            <v>0</v>
          </cell>
          <cell r="DZ747">
            <v>0</v>
          </cell>
          <cell r="EA747">
            <v>0</v>
          </cell>
          <cell r="EB747">
            <v>0</v>
          </cell>
          <cell r="EC747">
            <v>0</v>
          </cell>
        </row>
        <row r="748"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R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3</v>
          </cell>
          <cell r="AS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BA748">
            <v>0</v>
          </cell>
          <cell r="BB748">
            <v>0</v>
          </cell>
          <cell r="BH748">
            <v>0</v>
          </cell>
          <cell r="BI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U748">
            <v>0</v>
          </cell>
          <cell r="BV748">
            <v>0</v>
          </cell>
          <cell r="BW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1</v>
          </cell>
          <cell r="CN748">
            <v>1</v>
          </cell>
          <cell r="CO748">
            <v>2</v>
          </cell>
          <cell r="CP748">
            <v>2</v>
          </cell>
          <cell r="CS748">
            <v>2</v>
          </cell>
          <cell r="CU748">
            <v>0</v>
          </cell>
          <cell r="CV748">
            <v>5</v>
          </cell>
          <cell r="CW748">
            <v>3</v>
          </cell>
          <cell r="CX748">
            <v>0</v>
          </cell>
          <cell r="CY748">
            <v>2</v>
          </cell>
          <cell r="CZ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L748">
            <v>2</v>
          </cell>
          <cell r="DM748">
            <v>2</v>
          </cell>
          <cell r="DO748">
            <v>0</v>
          </cell>
          <cell r="DQ748">
            <v>0</v>
          </cell>
          <cell r="DW748">
            <v>0</v>
          </cell>
          <cell r="DX748">
            <v>0</v>
          </cell>
          <cell r="DY748">
            <v>0</v>
          </cell>
          <cell r="DZ748">
            <v>0</v>
          </cell>
          <cell r="EA748">
            <v>0</v>
          </cell>
          <cell r="EB748">
            <v>0</v>
          </cell>
          <cell r="EC748">
            <v>2</v>
          </cell>
        </row>
        <row r="749"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R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BA749">
            <v>0</v>
          </cell>
          <cell r="BB749">
            <v>0</v>
          </cell>
          <cell r="BH749">
            <v>0</v>
          </cell>
          <cell r="BI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U749">
            <v>0</v>
          </cell>
          <cell r="BV749">
            <v>0</v>
          </cell>
          <cell r="BW749">
            <v>7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N749">
            <v>0</v>
          </cell>
          <cell r="CO749">
            <v>0</v>
          </cell>
          <cell r="CP749">
            <v>0</v>
          </cell>
          <cell r="CS749">
            <v>0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H749">
            <v>0</v>
          </cell>
          <cell r="DL749">
            <v>0</v>
          </cell>
          <cell r="DM749">
            <v>0</v>
          </cell>
          <cell r="DO749">
            <v>0</v>
          </cell>
          <cell r="DQ749">
            <v>0</v>
          </cell>
          <cell r="DW749">
            <v>0</v>
          </cell>
          <cell r="DX749">
            <v>0</v>
          </cell>
          <cell r="DY749">
            <v>0</v>
          </cell>
          <cell r="DZ749">
            <v>0</v>
          </cell>
          <cell r="EA749">
            <v>0</v>
          </cell>
          <cell r="EB749">
            <v>0</v>
          </cell>
          <cell r="EC749">
            <v>0</v>
          </cell>
        </row>
        <row r="750"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R750">
            <v>0</v>
          </cell>
          <cell r="V750">
            <v>0</v>
          </cell>
          <cell r="W750">
            <v>2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BA750">
            <v>0</v>
          </cell>
          <cell r="BB750">
            <v>0</v>
          </cell>
          <cell r="BH750">
            <v>0</v>
          </cell>
          <cell r="BI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U750">
            <v>0</v>
          </cell>
          <cell r="BV750">
            <v>0</v>
          </cell>
          <cell r="BW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N750">
            <v>0</v>
          </cell>
          <cell r="CO750">
            <v>0</v>
          </cell>
          <cell r="CP750">
            <v>0</v>
          </cell>
          <cell r="CS750">
            <v>0</v>
          </cell>
          <cell r="CU750">
            <v>0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2</v>
          </cell>
          <cell r="DG750">
            <v>0</v>
          </cell>
          <cell r="DH750">
            <v>0</v>
          </cell>
          <cell r="DL750">
            <v>0</v>
          </cell>
          <cell r="DM750">
            <v>0</v>
          </cell>
          <cell r="DO750">
            <v>0</v>
          </cell>
          <cell r="DQ750">
            <v>0</v>
          </cell>
          <cell r="DW750">
            <v>0</v>
          </cell>
          <cell r="DX750">
            <v>0</v>
          </cell>
          <cell r="DY750">
            <v>0</v>
          </cell>
          <cell r="DZ750">
            <v>0</v>
          </cell>
          <cell r="EA750">
            <v>0</v>
          </cell>
          <cell r="EB750">
            <v>0</v>
          </cell>
          <cell r="EC750">
            <v>0</v>
          </cell>
        </row>
        <row r="751"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R751">
            <v>0</v>
          </cell>
          <cell r="V751">
            <v>0</v>
          </cell>
          <cell r="W751">
            <v>9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BA751">
            <v>0</v>
          </cell>
          <cell r="BB751">
            <v>0</v>
          </cell>
          <cell r="BH751">
            <v>0</v>
          </cell>
          <cell r="BI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U751">
            <v>0</v>
          </cell>
          <cell r="BV751">
            <v>0</v>
          </cell>
          <cell r="BW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H751">
            <v>0</v>
          </cell>
          <cell r="CI751">
            <v>5</v>
          </cell>
          <cell r="CJ751">
            <v>5</v>
          </cell>
          <cell r="CK751">
            <v>0</v>
          </cell>
          <cell r="CN751">
            <v>0</v>
          </cell>
          <cell r="CO751">
            <v>0</v>
          </cell>
          <cell r="CP751">
            <v>0</v>
          </cell>
          <cell r="CS751">
            <v>0</v>
          </cell>
          <cell r="CU751">
            <v>0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5</v>
          </cell>
          <cell r="DH751">
            <v>4</v>
          </cell>
          <cell r="DL751">
            <v>0</v>
          </cell>
          <cell r="DM751">
            <v>0</v>
          </cell>
          <cell r="DO751">
            <v>0</v>
          </cell>
          <cell r="DQ751">
            <v>0</v>
          </cell>
          <cell r="DW751">
            <v>0</v>
          </cell>
          <cell r="DX751">
            <v>0</v>
          </cell>
          <cell r="DY751">
            <v>1</v>
          </cell>
          <cell r="DZ751">
            <v>0</v>
          </cell>
          <cell r="EA751">
            <v>0</v>
          </cell>
          <cell r="EB751">
            <v>0</v>
          </cell>
          <cell r="EC751">
            <v>0</v>
          </cell>
        </row>
        <row r="752"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R752">
            <v>0</v>
          </cell>
          <cell r="V752">
            <v>0</v>
          </cell>
          <cell r="W752">
            <v>1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BA752">
            <v>0</v>
          </cell>
          <cell r="BB752">
            <v>0</v>
          </cell>
          <cell r="BH752">
            <v>0</v>
          </cell>
          <cell r="BI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U752">
            <v>0</v>
          </cell>
          <cell r="BV752">
            <v>0</v>
          </cell>
          <cell r="BW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N752">
            <v>0</v>
          </cell>
          <cell r="CO752">
            <v>0</v>
          </cell>
          <cell r="CP752">
            <v>0</v>
          </cell>
          <cell r="CS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1</v>
          </cell>
          <cell r="DH752">
            <v>0</v>
          </cell>
          <cell r="DL752">
            <v>0</v>
          </cell>
          <cell r="DM752">
            <v>0</v>
          </cell>
          <cell r="DO752">
            <v>0</v>
          </cell>
          <cell r="DQ752">
            <v>0</v>
          </cell>
          <cell r="DW752">
            <v>0</v>
          </cell>
          <cell r="DX752">
            <v>0</v>
          </cell>
          <cell r="DY752">
            <v>0</v>
          </cell>
          <cell r="DZ752">
            <v>0</v>
          </cell>
          <cell r="EA752">
            <v>0</v>
          </cell>
          <cell r="EB752">
            <v>0</v>
          </cell>
          <cell r="EC752">
            <v>0</v>
          </cell>
        </row>
        <row r="753"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R753">
            <v>0</v>
          </cell>
          <cell r="V753">
            <v>0</v>
          </cell>
          <cell r="W753">
            <v>2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BA753">
            <v>0</v>
          </cell>
          <cell r="BB753">
            <v>0</v>
          </cell>
          <cell r="BH753">
            <v>0</v>
          </cell>
          <cell r="BI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U753">
            <v>0</v>
          </cell>
          <cell r="BV753">
            <v>0</v>
          </cell>
          <cell r="BW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N753">
            <v>0</v>
          </cell>
          <cell r="CO753">
            <v>0</v>
          </cell>
          <cell r="CP753">
            <v>0</v>
          </cell>
          <cell r="CS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2</v>
          </cell>
          <cell r="DH753">
            <v>0</v>
          </cell>
          <cell r="DL753">
            <v>0</v>
          </cell>
          <cell r="DM753">
            <v>0</v>
          </cell>
          <cell r="DO753">
            <v>0</v>
          </cell>
          <cell r="DQ753">
            <v>0</v>
          </cell>
          <cell r="DW753">
            <v>0</v>
          </cell>
          <cell r="DX753">
            <v>0</v>
          </cell>
          <cell r="DY753">
            <v>0</v>
          </cell>
          <cell r="DZ753">
            <v>0</v>
          </cell>
          <cell r="EA753">
            <v>0</v>
          </cell>
          <cell r="EB753">
            <v>0</v>
          </cell>
          <cell r="EC753">
            <v>0</v>
          </cell>
        </row>
        <row r="754"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R754">
            <v>0</v>
          </cell>
          <cell r="V754">
            <v>0</v>
          </cell>
          <cell r="W754">
            <v>2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BA754">
            <v>0</v>
          </cell>
          <cell r="BB754">
            <v>0</v>
          </cell>
          <cell r="BH754">
            <v>0</v>
          </cell>
          <cell r="BI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U754">
            <v>0</v>
          </cell>
          <cell r="BV754">
            <v>0</v>
          </cell>
          <cell r="BW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N754">
            <v>0</v>
          </cell>
          <cell r="CO754">
            <v>0</v>
          </cell>
          <cell r="CP754">
            <v>0</v>
          </cell>
          <cell r="CS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2</v>
          </cell>
          <cell r="DH754">
            <v>0</v>
          </cell>
          <cell r="DL754">
            <v>0</v>
          </cell>
          <cell r="DM754">
            <v>0</v>
          </cell>
          <cell r="DO754">
            <v>0</v>
          </cell>
          <cell r="DQ754">
            <v>0</v>
          </cell>
          <cell r="DW754">
            <v>0</v>
          </cell>
          <cell r="DX754">
            <v>0</v>
          </cell>
          <cell r="DY754">
            <v>0</v>
          </cell>
          <cell r="DZ754">
            <v>0</v>
          </cell>
          <cell r="EA754">
            <v>0</v>
          </cell>
          <cell r="EB754">
            <v>0</v>
          </cell>
          <cell r="EC754">
            <v>0</v>
          </cell>
        </row>
        <row r="755"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R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BA755">
            <v>0</v>
          </cell>
          <cell r="BB755">
            <v>0</v>
          </cell>
          <cell r="BH755">
            <v>0</v>
          </cell>
          <cell r="BI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U755">
            <v>0</v>
          </cell>
          <cell r="BV755">
            <v>0</v>
          </cell>
          <cell r="BW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N755">
            <v>0</v>
          </cell>
          <cell r="CO755">
            <v>0</v>
          </cell>
          <cell r="CP755">
            <v>0</v>
          </cell>
          <cell r="CS755">
            <v>0</v>
          </cell>
          <cell r="CU755">
            <v>0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H755">
            <v>0</v>
          </cell>
          <cell r="DL755">
            <v>0</v>
          </cell>
          <cell r="DM755">
            <v>0</v>
          </cell>
          <cell r="DO755">
            <v>0</v>
          </cell>
          <cell r="DQ755">
            <v>0</v>
          </cell>
          <cell r="DW755">
            <v>0</v>
          </cell>
          <cell r="DX755">
            <v>0</v>
          </cell>
          <cell r="DY755">
            <v>0</v>
          </cell>
          <cell r="DZ755">
            <v>0</v>
          </cell>
          <cell r="EA755">
            <v>0</v>
          </cell>
          <cell r="EB755">
            <v>0</v>
          </cell>
          <cell r="EC755">
            <v>0</v>
          </cell>
        </row>
        <row r="756"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1</v>
          </cell>
          <cell r="R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BA756">
            <v>0</v>
          </cell>
          <cell r="BB756">
            <v>0</v>
          </cell>
          <cell r="BH756">
            <v>0</v>
          </cell>
          <cell r="BI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U756">
            <v>0</v>
          </cell>
          <cell r="BV756">
            <v>0</v>
          </cell>
          <cell r="BW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N756">
            <v>0</v>
          </cell>
          <cell r="CO756">
            <v>0</v>
          </cell>
          <cell r="CP756">
            <v>0</v>
          </cell>
          <cell r="CS756">
            <v>0</v>
          </cell>
          <cell r="CU756">
            <v>0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0</v>
          </cell>
          <cell r="DL756">
            <v>0</v>
          </cell>
          <cell r="DM756">
            <v>0</v>
          </cell>
          <cell r="DO756">
            <v>0</v>
          </cell>
          <cell r="DQ756">
            <v>0</v>
          </cell>
          <cell r="DW756">
            <v>0</v>
          </cell>
          <cell r="DX756">
            <v>0</v>
          </cell>
          <cell r="DY756">
            <v>0</v>
          </cell>
          <cell r="DZ756">
            <v>0</v>
          </cell>
          <cell r="EA756">
            <v>0</v>
          </cell>
          <cell r="EB756">
            <v>0</v>
          </cell>
          <cell r="EC756">
            <v>0</v>
          </cell>
        </row>
        <row r="757"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R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BA757">
            <v>0</v>
          </cell>
          <cell r="BB757">
            <v>0</v>
          </cell>
          <cell r="BH757">
            <v>0</v>
          </cell>
          <cell r="BI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U757">
            <v>0</v>
          </cell>
          <cell r="BV757">
            <v>0</v>
          </cell>
          <cell r="BW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N757">
            <v>0</v>
          </cell>
          <cell r="CO757">
            <v>0</v>
          </cell>
          <cell r="CP757">
            <v>0</v>
          </cell>
          <cell r="CS757">
            <v>0</v>
          </cell>
          <cell r="CU757">
            <v>0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H757">
            <v>0</v>
          </cell>
          <cell r="DL757">
            <v>0</v>
          </cell>
          <cell r="DM757">
            <v>0</v>
          </cell>
          <cell r="DO757">
            <v>0</v>
          </cell>
          <cell r="DQ757">
            <v>0</v>
          </cell>
          <cell r="DW757">
            <v>1</v>
          </cell>
          <cell r="DX757">
            <v>0</v>
          </cell>
          <cell r="DY757">
            <v>0</v>
          </cell>
          <cell r="DZ757">
            <v>0</v>
          </cell>
          <cell r="EA757">
            <v>0</v>
          </cell>
          <cell r="EB757">
            <v>0</v>
          </cell>
          <cell r="EC757">
            <v>0</v>
          </cell>
        </row>
        <row r="758"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R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BA758">
            <v>0</v>
          </cell>
          <cell r="BB758">
            <v>0</v>
          </cell>
          <cell r="BH758">
            <v>0</v>
          </cell>
          <cell r="BI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U758">
            <v>0</v>
          </cell>
          <cell r="BV758">
            <v>0</v>
          </cell>
          <cell r="BW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N758">
            <v>0</v>
          </cell>
          <cell r="CO758">
            <v>0</v>
          </cell>
          <cell r="CP758">
            <v>0</v>
          </cell>
          <cell r="CS758">
            <v>0</v>
          </cell>
          <cell r="CU758">
            <v>0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0</v>
          </cell>
          <cell r="DL758">
            <v>0</v>
          </cell>
          <cell r="DM758">
            <v>0</v>
          </cell>
          <cell r="DO758">
            <v>0</v>
          </cell>
          <cell r="DQ758">
            <v>0</v>
          </cell>
          <cell r="DW758">
            <v>0</v>
          </cell>
          <cell r="DX758">
            <v>0</v>
          </cell>
          <cell r="DY758">
            <v>0</v>
          </cell>
          <cell r="DZ758">
            <v>0</v>
          </cell>
          <cell r="EA758">
            <v>0</v>
          </cell>
          <cell r="EB758">
            <v>0</v>
          </cell>
          <cell r="EC758">
            <v>0</v>
          </cell>
        </row>
        <row r="759"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R759">
            <v>0</v>
          </cell>
          <cell r="V759">
            <v>0</v>
          </cell>
          <cell r="W759">
            <v>1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BA759">
            <v>0</v>
          </cell>
          <cell r="BB759">
            <v>0</v>
          </cell>
          <cell r="BH759">
            <v>0</v>
          </cell>
          <cell r="BI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U759">
            <v>0</v>
          </cell>
          <cell r="BV759">
            <v>0</v>
          </cell>
          <cell r="BW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N759">
            <v>0</v>
          </cell>
          <cell r="CO759">
            <v>0</v>
          </cell>
          <cell r="CP759">
            <v>0</v>
          </cell>
          <cell r="CS759">
            <v>0</v>
          </cell>
          <cell r="CU759">
            <v>0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1</v>
          </cell>
          <cell r="DG759">
            <v>0</v>
          </cell>
          <cell r="DH759">
            <v>0</v>
          </cell>
          <cell r="DL759">
            <v>0</v>
          </cell>
          <cell r="DM759">
            <v>0</v>
          </cell>
          <cell r="DO759">
            <v>0</v>
          </cell>
          <cell r="DQ759">
            <v>0</v>
          </cell>
          <cell r="DW759">
            <v>0</v>
          </cell>
          <cell r="DX759">
            <v>0</v>
          </cell>
          <cell r="DY759">
            <v>0</v>
          </cell>
          <cell r="DZ759">
            <v>0</v>
          </cell>
          <cell r="EA759">
            <v>0</v>
          </cell>
          <cell r="EB759">
            <v>0</v>
          </cell>
          <cell r="EC759">
            <v>0</v>
          </cell>
        </row>
        <row r="760"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R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BA760">
            <v>0</v>
          </cell>
          <cell r="BB760">
            <v>0</v>
          </cell>
          <cell r="BH760">
            <v>0</v>
          </cell>
          <cell r="BI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U760">
            <v>0</v>
          </cell>
          <cell r="BV760">
            <v>0</v>
          </cell>
          <cell r="BW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N760">
            <v>0</v>
          </cell>
          <cell r="CO760">
            <v>0</v>
          </cell>
          <cell r="CP760">
            <v>0</v>
          </cell>
          <cell r="CS760">
            <v>0</v>
          </cell>
          <cell r="CU760">
            <v>0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0</v>
          </cell>
          <cell r="DL760">
            <v>0</v>
          </cell>
          <cell r="DM760">
            <v>0</v>
          </cell>
          <cell r="DO760">
            <v>0</v>
          </cell>
          <cell r="DQ760">
            <v>0</v>
          </cell>
          <cell r="DW760">
            <v>0</v>
          </cell>
          <cell r="DX760">
            <v>0</v>
          </cell>
          <cell r="DY760">
            <v>0</v>
          </cell>
          <cell r="DZ760">
            <v>0</v>
          </cell>
          <cell r="EA760">
            <v>0</v>
          </cell>
          <cell r="EB760">
            <v>0</v>
          </cell>
          <cell r="EC760">
            <v>0</v>
          </cell>
        </row>
        <row r="761"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R761">
            <v>0</v>
          </cell>
          <cell r="V761">
            <v>0</v>
          </cell>
          <cell r="W761">
            <v>1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BA761">
            <v>0</v>
          </cell>
          <cell r="BB761">
            <v>0</v>
          </cell>
          <cell r="BH761">
            <v>0</v>
          </cell>
          <cell r="BI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U761">
            <v>0</v>
          </cell>
          <cell r="BV761">
            <v>0</v>
          </cell>
          <cell r="BW761">
            <v>0</v>
          </cell>
          <cell r="BZ761">
            <v>0</v>
          </cell>
          <cell r="CA761">
            <v>2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H761">
            <v>1</v>
          </cell>
          <cell r="CI761">
            <v>0</v>
          </cell>
          <cell r="CJ761">
            <v>0</v>
          </cell>
          <cell r="CK761">
            <v>0</v>
          </cell>
          <cell r="CN761">
            <v>0</v>
          </cell>
          <cell r="CO761">
            <v>0</v>
          </cell>
          <cell r="CP761">
            <v>0</v>
          </cell>
          <cell r="CS761">
            <v>0</v>
          </cell>
          <cell r="CU761">
            <v>0</v>
          </cell>
          <cell r="CV761">
            <v>1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1</v>
          </cell>
          <cell r="DH761">
            <v>0</v>
          </cell>
          <cell r="DL761">
            <v>0</v>
          </cell>
          <cell r="DM761">
            <v>0</v>
          </cell>
          <cell r="DO761">
            <v>0</v>
          </cell>
          <cell r="DQ761">
            <v>0</v>
          </cell>
          <cell r="DW761">
            <v>0</v>
          </cell>
          <cell r="DX761">
            <v>0</v>
          </cell>
          <cell r="DY761">
            <v>0</v>
          </cell>
          <cell r="DZ761">
            <v>0</v>
          </cell>
          <cell r="EA761">
            <v>0</v>
          </cell>
          <cell r="EB761">
            <v>0</v>
          </cell>
          <cell r="EC761">
            <v>0</v>
          </cell>
        </row>
        <row r="762"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R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BA762">
            <v>0</v>
          </cell>
          <cell r="BB762">
            <v>0</v>
          </cell>
          <cell r="BH762">
            <v>0</v>
          </cell>
          <cell r="BI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U762">
            <v>0</v>
          </cell>
          <cell r="BV762">
            <v>0</v>
          </cell>
          <cell r="BW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N762">
            <v>0</v>
          </cell>
          <cell r="CO762">
            <v>0</v>
          </cell>
          <cell r="CP762">
            <v>0</v>
          </cell>
          <cell r="CS762">
            <v>0</v>
          </cell>
          <cell r="CU762">
            <v>0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0</v>
          </cell>
          <cell r="DL762">
            <v>0</v>
          </cell>
          <cell r="DM762">
            <v>0</v>
          </cell>
          <cell r="DO762">
            <v>0</v>
          </cell>
          <cell r="DQ762">
            <v>0</v>
          </cell>
          <cell r="DW762">
            <v>3</v>
          </cell>
          <cell r="DX762">
            <v>0</v>
          </cell>
          <cell r="DY762">
            <v>0</v>
          </cell>
          <cell r="DZ762">
            <v>0</v>
          </cell>
          <cell r="EA762">
            <v>0</v>
          </cell>
          <cell r="EB762">
            <v>0</v>
          </cell>
          <cell r="EC762">
            <v>0</v>
          </cell>
        </row>
        <row r="763"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R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BA763">
            <v>0</v>
          </cell>
          <cell r="BB763">
            <v>0</v>
          </cell>
          <cell r="BH763">
            <v>0</v>
          </cell>
          <cell r="BI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U763">
            <v>0</v>
          </cell>
          <cell r="BV763">
            <v>0</v>
          </cell>
          <cell r="BW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N763">
            <v>0</v>
          </cell>
          <cell r="CO763">
            <v>0</v>
          </cell>
          <cell r="CP763">
            <v>0</v>
          </cell>
          <cell r="CS763">
            <v>0</v>
          </cell>
          <cell r="CU763">
            <v>0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0</v>
          </cell>
          <cell r="DL763">
            <v>0</v>
          </cell>
          <cell r="DM763">
            <v>0</v>
          </cell>
          <cell r="DO763">
            <v>0</v>
          </cell>
          <cell r="DQ763">
            <v>0</v>
          </cell>
          <cell r="DW763">
            <v>1</v>
          </cell>
          <cell r="DX763">
            <v>0</v>
          </cell>
          <cell r="DY763">
            <v>0</v>
          </cell>
          <cell r="DZ763">
            <v>0</v>
          </cell>
          <cell r="EA763">
            <v>0</v>
          </cell>
          <cell r="EB763">
            <v>0</v>
          </cell>
          <cell r="EC763">
            <v>0</v>
          </cell>
        </row>
        <row r="764"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R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BA764">
            <v>0</v>
          </cell>
          <cell r="BB764">
            <v>0</v>
          </cell>
          <cell r="BH764">
            <v>0</v>
          </cell>
          <cell r="BI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U764">
            <v>1</v>
          </cell>
          <cell r="BV764">
            <v>0</v>
          </cell>
          <cell r="BW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N764">
            <v>0</v>
          </cell>
          <cell r="CO764">
            <v>2</v>
          </cell>
          <cell r="CP764">
            <v>0</v>
          </cell>
          <cell r="CS764">
            <v>0</v>
          </cell>
          <cell r="CU764">
            <v>0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0</v>
          </cell>
          <cell r="DL764">
            <v>0</v>
          </cell>
          <cell r="DM764">
            <v>0</v>
          </cell>
          <cell r="DO764">
            <v>0</v>
          </cell>
          <cell r="DQ764">
            <v>0</v>
          </cell>
          <cell r="DW764">
            <v>3</v>
          </cell>
          <cell r="DX764">
            <v>0</v>
          </cell>
          <cell r="DY764">
            <v>0</v>
          </cell>
          <cell r="DZ764">
            <v>0</v>
          </cell>
          <cell r="EA764">
            <v>0</v>
          </cell>
          <cell r="EB764">
            <v>0</v>
          </cell>
          <cell r="EC764">
            <v>0</v>
          </cell>
        </row>
        <row r="765"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R765">
            <v>0</v>
          </cell>
          <cell r="V765">
            <v>0</v>
          </cell>
          <cell r="W765">
            <v>1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BA765">
            <v>0</v>
          </cell>
          <cell r="BB765">
            <v>0</v>
          </cell>
          <cell r="BH765">
            <v>0</v>
          </cell>
          <cell r="BI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U765">
            <v>0</v>
          </cell>
          <cell r="BV765">
            <v>0</v>
          </cell>
          <cell r="BW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N765">
            <v>0</v>
          </cell>
          <cell r="CO765">
            <v>0</v>
          </cell>
          <cell r="CP765">
            <v>0</v>
          </cell>
          <cell r="CS765">
            <v>0</v>
          </cell>
          <cell r="CU765">
            <v>0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1</v>
          </cell>
          <cell r="DH765">
            <v>0</v>
          </cell>
          <cell r="DL765">
            <v>0</v>
          </cell>
          <cell r="DM765">
            <v>0</v>
          </cell>
          <cell r="DO765">
            <v>0</v>
          </cell>
          <cell r="DQ765">
            <v>0</v>
          </cell>
          <cell r="DW765">
            <v>0</v>
          </cell>
          <cell r="DX765">
            <v>0</v>
          </cell>
          <cell r="DY765">
            <v>0</v>
          </cell>
          <cell r="DZ765">
            <v>0</v>
          </cell>
          <cell r="EA765">
            <v>0</v>
          </cell>
          <cell r="EB765">
            <v>0</v>
          </cell>
          <cell r="EC765">
            <v>0</v>
          </cell>
        </row>
        <row r="766"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R766">
            <v>0</v>
          </cell>
          <cell r="V766">
            <v>0</v>
          </cell>
          <cell r="W766">
            <v>10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BA766">
            <v>0</v>
          </cell>
          <cell r="BB766">
            <v>0</v>
          </cell>
          <cell r="BH766">
            <v>0</v>
          </cell>
          <cell r="BI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U766">
            <v>0</v>
          </cell>
          <cell r="BV766">
            <v>0</v>
          </cell>
          <cell r="BW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N766">
            <v>0</v>
          </cell>
          <cell r="CO766">
            <v>0</v>
          </cell>
          <cell r="CP766">
            <v>0</v>
          </cell>
          <cell r="CS766">
            <v>0</v>
          </cell>
          <cell r="CU766">
            <v>0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9</v>
          </cell>
          <cell r="DL766">
            <v>0</v>
          </cell>
          <cell r="DM766">
            <v>0</v>
          </cell>
          <cell r="DO766">
            <v>0</v>
          </cell>
          <cell r="DQ766">
            <v>1</v>
          </cell>
          <cell r="DW766">
            <v>0</v>
          </cell>
          <cell r="DX766">
            <v>0</v>
          </cell>
          <cell r="DY766">
            <v>0</v>
          </cell>
          <cell r="DZ766">
            <v>0</v>
          </cell>
          <cell r="EA766">
            <v>0</v>
          </cell>
          <cell r="EB766">
            <v>0</v>
          </cell>
          <cell r="EC766">
            <v>0</v>
          </cell>
        </row>
        <row r="767"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R767">
            <v>0</v>
          </cell>
          <cell r="V767">
            <v>0</v>
          </cell>
          <cell r="W767">
            <v>1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BA767">
            <v>0</v>
          </cell>
          <cell r="BB767">
            <v>0</v>
          </cell>
          <cell r="BH767">
            <v>0</v>
          </cell>
          <cell r="BI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6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U767">
            <v>0</v>
          </cell>
          <cell r="BV767">
            <v>5</v>
          </cell>
          <cell r="BW767">
            <v>7</v>
          </cell>
          <cell r="BZ767">
            <v>7</v>
          </cell>
          <cell r="CA767">
            <v>3</v>
          </cell>
          <cell r="CB767">
            <v>9</v>
          </cell>
          <cell r="CC767">
            <v>6</v>
          </cell>
          <cell r="CD767">
            <v>0</v>
          </cell>
          <cell r="CE767">
            <v>0</v>
          </cell>
          <cell r="CH767">
            <v>3</v>
          </cell>
          <cell r="CI767">
            <v>1</v>
          </cell>
          <cell r="CJ767">
            <v>1</v>
          </cell>
          <cell r="CK767">
            <v>0</v>
          </cell>
          <cell r="CN767">
            <v>0</v>
          </cell>
          <cell r="CO767">
            <v>2</v>
          </cell>
          <cell r="CP767">
            <v>0</v>
          </cell>
          <cell r="CS767">
            <v>0</v>
          </cell>
          <cell r="CU767">
            <v>9</v>
          </cell>
          <cell r="CV767">
            <v>4</v>
          </cell>
          <cell r="CW767">
            <v>0</v>
          </cell>
          <cell r="CX767">
            <v>0</v>
          </cell>
          <cell r="CY767">
            <v>0</v>
          </cell>
          <cell r="CZ767">
            <v>1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1</v>
          </cell>
          <cell r="DG767">
            <v>0</v>
          </cell>
          <cell r="DH767">
            <v>0</v>
          </cell>
          <cell r="DL767">
            <v>0</v>
          </cell>
          <cell r="DM767">
            <v>0</v>
          </cell>
          <cell r="DO767">
            <v>0</v>
          </cell>
          <cell r="DQ767">
            <v>0</v>
          </cell>
          <cell r="DW767">
            <v>12</v>
          </cell>
          <cell r="DX767">
            <v>0</v>
          </cell>
          <cell r="DY767">
            <v>1</v>
          </cell>
          <cell r="DZ767">
            <v>0</v>
          </cell>
          <cell r="EA767">
            <v>0</v>
          </cell>
          <cell r="EB767">
            <v>0</v>
          </cell>
          <cell r="EC767">
            <v>0</v>
          </cell>
        </row>
        <row r="768"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R768">
            <v>0</v>
          </cell>
          <cell r="V768">
            <v>0</v>
          </cell>
          <cell r="W768">
            <v>1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BA768">
            <v>0</v>
          </cell>
          <cell r="BB768">
            <v>0</v>
          </cell>
          <cell r="BH768">
            <v>0</v>
          </cell>
          <cell r="BI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U768">
            <v>0</v>
          </cell>
          <cell r="BV768">
            <v>0</v>
          </cell>
          <cell r="BW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N768">
            <v>0</v>
          </cell>
          <cell r="CO768">
            <v>0</v>
          </cell>
          <cell r="CP768">
            <v>0</v>
          </cell>
          <cell r="CS768">
            <v>0</v>
          </cell>
          <cell r="CU768">
            <v>0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1</v>
          </cell>
          <cell r="DG768">
            <v>0</v>
          </cell>
          <cell r="DH768">
            <v>0</v>
          </cell>
          <cell r="DL768">
            <v>0</v>
          </cell>
          <cell r="DM768">
            <v>0</v>
          </cell>
          <cell r="DO768">
            <v>0</v>
          </cell>
          <cell r="DQ768">
            <v>0</v>
          </cell>
          <cell r="DW768">
            <v>0</v>
          </cell>
          <cell r="DX768">
            <v>0</v>
          </cell>
          <cell r="DY768">
            <v>0</v>
          </cell>
          <cell r="DZ768">
            <v>0</v>
          </cell>
          <cell r="EA768">
            <v>0</v>
          </cell>
          <cell r="EB768">
            <v>0</v>
          </cell>
          <cell r="EC768">
            <v>0</v>
          </cell>
        </row>
        <row r="769"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R769">
            <v>0</v>
          </cell>
          <cell r="V769">
            <v>0</v>
          </cell>
          <cell r="W769">
            <v>1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BA769">
            <v>0</v>
          </cell>
          <cell r="BB769">
            <v>0</v>
          </cell>
          <cell r="BH769">
            <v>0</v>
          </cell>
          <cell r="BI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U769">
            <v>0</v>
          </cell>
          <cell r="BV769">
            <v>0</v>
          </cell>
          <cell r="BW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H769">
            <v>1</v>
          </cell>
          <cell r="CI769">
            <v>5</v>
          </cell>
          <cell r="CJ769">
            <v>5</v>
          </cell>
          <cell r="CK769">
            <v>0</v>
          </cell>
          <cell r="CN769">
            <v>0</v>
          </cell>
          <cell r="CO769">
            <v>0</v>
          </cell>
          <cell r="CP769">
            <v>0</v>
          </cell>
          <cell r="CS769">
            <v>0</v>
          </cell>
          <cell r="CU769">
            <v>0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1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1</v>
          </cell>
          <cell r="DH769">
            <v>0</v>
          </cell>
          <cell r="DL769">
            <v>0</v>
          </cell>
          <cell r="DM769">
            <v>0</v>
          </cell>
          <cell r="DO769">
            <v>0</v>
          </cell>
          <cell r="DQ769">
            <v>0</v>
          </cell>
          <cell r="DW769">
            <v>0</v>
          </cell>
          <cell r="DX769">
            <v>0</v>
          </cell>
          <cell r="DY769">
            <v>0</v>
          </cell>
          <cell r="DZ769">
            <v>0</v>
          </cell>
          <cell r="EA769">
            <v>0</v>
          </cell>
          <cell r="EB769">
            <v>0</v>
          </cell>
          <cell r="EC769">
            <v>0</v>
          </cell>
        </row>
        <row r="770"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R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2</v>
          </cell>
          <cell r="AS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BA770">
            <v>0</v>
          </cell>
          <cell r="BB770">
            <v>0</v>
          </cell>
          <cell r="BH770">
            <v>0</v>
          </cell>
          <cell r="BI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U770">
            <v>0</v>
          </cell>
          <cell r="BV770">
            <v>0</v>
          </cell>
          <cell r="BW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1</v>
          </cell>
          <cell r="CN770">
            <v>1</v>
          </cell>
          <cell r="CO770">
            <v>1</v>
          </cell>
          <cell r="CP770">
            <v>1</v>
          </cell>
          <cell r="CS770">
            <v>1</v>
          </cell>
          <cell r="CU770">
            <v>0</v>
          </cell>
          <cell r="CV770">
            <v>0</v>
          </cell>
          <cell r="CW770">
            <v>1</v>
          </cell>
          <cell r="CX770">
            <v>0</v>
          </cell>
          <cell r="CY770">
            <v>1</v>
          </cell>
          <cell r="CZ770">
            <v>2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L770">
            <v>1</v>
          </cell>
          <cell r="DM770">
            <v>1</v>
          </cell>
          <cell r="DO770">
            <v>0</v>
          </cell>
          <cell r="DQ770">
            <v>0</v>
          </cell>
          <cell r="DW770">
            <v>1</v>
          </cell>
          <cell r="DX770">
            <v>0</v>
          </cell>
          <cell r="DY770">
            <v>1</v>
          </cell>
          <cell r="DZ770">
            <v>0</v>
          </cell>
          <cell r="EA770">
            <v>0</v>
          </cell>
          <cell r="EB770">
            <v>0</v>
          </cell>
          <cell r="EC770">
            <v>1</v>
          </cell>
        </row>
        <row r="771"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R771">
            <v>0</v>
          </cell>
          <cell r="V771">
            <v>0</v>
          </cell>
          <cell r="W771">
            <v>9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5</v>
          </cell>
          <cell r="AS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BA771">
            <v>0</v>
          </cell>
          <cell r="BB771">
            <v>0</v>
          </cell>
          <cell r="BH771">
            <v>0</v>
          </cell>
          <cell r="BI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2</v>
          </cell>
          <cell r="BU771">
            <v>0</v>
          </cell>
          <cell r="BV771">
            <v>0</v>
          </cell>
          <cell r="BW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10</v>
          </cell>
          <cell r="CN771">
            <v>10</v>
          </cell>
          <cell r="CO771">
            <v>17</v>
          </cell>
          <cell r="CP771">
            <v>7</v>
          </cell>
          <cell r="CS771">
            <v>18</v>
          </cell>
          <cell r="CU771">
            <v>0</v>
          </cell>
          <cell r="CV771">
            <v>0</v>
          </cell>
          <cell r="CW771">
            <v>18</v>
          </cell>
          <cell r="CX771">
            <v>0</v>
          </cell>
          <cell r="CY771">
            <v>5</v>
          </cell>
          <cell r="CZ771">
            <v>10</v>
          </cell>
          <cell r="DB771">
            <v>0</v>
          </cell>
          <cell r="DC771">
            <v>2</v>
          </cell>
          <cell r="DD771">
            <v>0</v>
          </cell>
          <cell r="DE771">
            <v>0</v>
          </cell>
          <cell r="DF771">
            <v>7</v>
          </cell>
          <cell r="DG771">
            <v>1</v>
          </cell>
          <cell r="DH771">
            <v>1</v>
          </cell>
          <cell r="DL771">
            <v>10</v>
          </cell>
          <cell r="DM771">
            <v>10</v>
          </cell>
          <cell r="DO771">
            <v>0</v>
          </cell>
          <cell r="DQ771">
            <v>0</v>
          </cell>
          <cell r="DW771">
            <v>14</v>
          </cell>
          <cell r="DX771">
            <v>0</v>
          </cell>
          <cell r="DY771">
            <v>10</v>
          </cell>
          <cell r="DZ771">
            <v>0</v>
          </cell>
          <cell r="EA771">
            <v>0</v>
          </cell>
          <cell r="EB771">
            <v>2</v>
          </cell>
          <cell r="EC771">
            <v>10</v>
          </cell>
        </row>
        <row r="772"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R772">
            <v>0</v>
          </cell>
          <cell r="V772">
            <v>0</v>
          </cell>
          <cell r="W772">
            <v>2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BA772">
            <v>0</v>
          </cell>
          <cell r="BB772">
            <v>0</v>
          </cell>
          <cell r="BH772">
            <v>0</v>
          </cell>
          <cell r="BI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U772">
            <v>0</v>
          </cell>
          <cell r="BV772">
            <v>0</v>
          </cell>
          <cell r="BW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H772">
            <v>0</v>
          </cell>
          <cell r="CI772">
            <v>7</v>
          </cell>
          <cell r="CJ772">
            <v>7</v>
          </cell>
          <cell r="CK772">
            <v>0</v>
          </cell>
          <cell r="CN772">
            <v>0</v>
          </cell>
          <cell r="CO772">
            <v>0</v>
          </cell>
          <cell r="CP772">
            <v>0</v>
          </cell>
          <cell r="CS772">
            <v>0</v>
          </cell>
          <cell r="CU772">
            <v>0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2</v>
          </cell>
          <cell r="DH772">
            <v>0</v>
          </cell>
          <cell r="DL772">
            <v>0</v>
          </cell>
          <cell r="DM772">
            <v>0</v>
          </cell>
          <cell r="DO772">
            <v>0</v>
          </cell>
          <cell r="DQ772">
            <v>0</v>
          </cell>
          <cell r="DW772">
            <v>0</v>
          </cell>
          <cell r="DX772">
            <v>0</v>
          </cell>
          <cell r="DY772">
            <v>0</v>
          </cell>
          <cell r="DZ772">
            <v>0</v>
          </cell>
          <cell r="EA772">
            <v>0</v>
          </cell>
          <cell r="EB772">
            <v>0</v>
          </cell>
          <cell r="EC772">
            <v>0</v>
          </cell>
        </row>
        <row r="773"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R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BA773">
            <v>0</v>
          </cell>
          <cell r="BB773">
            <v>0</v>
          </cell>
          <cell r="BH773">
            <v>0</v>
          </cell>
          <cell r="BI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U773">
            <v>0</v>
          </cell>
          <cell r="BV773">
            <v>0</v>
          </cell>
          <cell r="BW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N773">
            <v>0</v>
          </cell>
          <cell r="CO773">
            <v>0</v>
          </cell>
          <cell r="CP773">
            <v>0</v>
          </cell>
          <cell r="CS773">
            <v>0</v>
          </cell>
          <cell r="CU773">
            <v>0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L773">
            <v>0</v>
          </cell>
          <cell r="DM773">
            <v>0</v>
          </cell>
          <cell r="DO773">
            <v>0</v>
          </cell>
          <cell r="DQ773">
            <v>0</v>
          </cell>
          <cell r="DW773">
            <v>1</v>
          </cell>
          <cell r="DX773">
            <v>0</v>
          </cell>
          <cell r="DY773">
            <v>0</v>
          </cell>
          <cell r="DZ773">
            <v>0</v>
          </cell>
          <cell r="EA773">
            <v>0</v>
          </cell>
          <cell r="EB773">
            <v>0</v>
          </cell>
          <cell r="EC773">
            <v>0</v>
          </cell>
        </row>
        <row r="774"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R774">
            <v>0</v>
          </cell>
          <cell r="V774">
            <v>0</v>
          </cell>
          <cell r="W774">
            <v>2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BA774">
            <v>0</v>
          </cell>
          <cell r="BB774">
            <v>0</v>
          </cell>
          <cell r="BH774">
            <v>0</v>
          </cell>
          <cell r="BI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2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U774">
            <v>0</v>
          </cell>
          <cell r="BV774">
            <v>0</v>
          </cell>
          <cell r="BW774">
            <v>0</v>
          </cell>
          <cell r="BZ774">
            <v>0</v>
          </cell>
          <cell r="CA774">
            <v>1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N774">
            <v>0</v>
          </cell>
          <cell r="CO774">
            <v>1</v>
          </cell>
          <cell r="CP774">
            <v>0</v>
          </cell>
          <cell r="CS774">
            <v>0</v>
          </cell>
          <cell r="CU774">
            <v>0</v>
          </cell>
          <cell r="CV774">
            <v>2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L774">
            <v>0</v>
          </cell>
          <cell r="DM774">
            <v>0</v>
          </cell>
          <cell r="DO774">
            <v>0</v>
          </cell>
          <cell r="DQ774">
            <v>0</v>
          </cell>
          <cell r="DW774">
            <v>0</v>
          </cell>
          <cell r="DX774">
            <v>0</v>
          </cell>
          <cell r="DY774">
            <v>6</v>
          </cell>
          <cell r="DZ774">
            <v>8</v>
          </cell>
          <cell r="EA774">
            <v>0</v>
          </cell>
          <cell r="EB774">
            <v>12</v>
          </cell>
          <cell r="EC774">
            <v>0</v>
          </cell>
        </row>
        <row r="775"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3</v>
          </cell>
          <cell r="R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BA775">
            <v>0</v>
          </cell>
          <cell r="BB775">
            <v>0</v>
          </cell>
          <cell r="BH775">
            <v>0</v>
          </cell>
          <cell r="BI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U775">
            <v>0</v>
          </cell>
          <cell r="BV775">
            <v>0</v>
          </cell>
          <cell r="BW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2</v>
          </cell>
          <cell r="CE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N775">
            <v>0</v>
          </cell>
          <cell r="CO775">
            <v>3</v>
          </cell>
          <cell r="CP775">
            <v>0</v>
          </cell>
          <cell r="CS775">
            <v>0</v>
          </cell>
          <cell r="CU775">
            <v>0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2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L775">
            <v>0</v>
          </cell>
          <cell r="DM775">
            <v>0</v>
          </cell>
          <cell r="DO775">
            <v>0</v>
          </cell>
          <cell r="DQ775">
            <v>0</v>
          </cell>
          <cell r="DW775">
            <v>0</v>
          </cell>
          <cell r="DX775">
            <v>0</v>
          </cell>
          <cell r="DY775">
            <v>0</v>
          </cell>
          <cell r="DZ775">
            <v>0</v>
          </cell>
          <cell r="EA775">
            <v>0</v>
          </cell>
          <cell r="EB775">
            <v>0</v>
          </cell>
          <cell r="EC775">
            <v>0</v>
          </cell>
        </row>
        <row r="776"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R776">
            <v>0</v>
          </cell>
          <cell r="V776">
            <v>0</v>
          </cell>
          <cell r="W776">
            <v>3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BA776">
            <v>0</v>
          </cell>
          <cell r="BB776">
            <v>0</v>
          </cell>
          <cell r="BH776">
            <v>0</v>
          </cell>
          <cell r="BI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U776">
            <v>0</v>
          </cell>
          <cell r="BV776">
            <v>0</v>
          </cell>
          <cell r="BW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H776">
            <v>5</v>
          </cell>
          <cell r="CI776">
            <v>0</v>
          </cell>
          <cell r="CJ776">
            <v>0</v>
          </cell>
          <cell r="CK776">
            <v>0</v>
          </cell>
          <cell r="CN776">
            <v>0</v>
          </cell>
          <cell r="CO776">
            <v>0</v>
          </cell>
          <cell r="CP776">
            <v>0</v>
          </cell>
          <cell r="CS776">
            <v>0</v>
          </cell>
          <cell r="CU776">
            <v>0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2</v>
          </cell>
          <cell r="DG776">
            <v>1</v>
          </cell>
          <cell r="DH776">
            <v>0</v>
          </cell>
          <cell r="DL776">
            <v>0</v>
          </cell>
          <cell r="DM776">
            <v>0</v>
          </cell>
          <cell r="DO776">
            <v>0</v>
          </cell>
          <cell r="DQ776">
            <v>0</v>
          </cell>
          <cell r="DW776">
            <v>0</v>
          </cell>
          <cell r="DX776">
            <v>0</v>
          </cell>
          <cell r="DY776">
            <v>0</v>
          </cell>
          <cell r="DZ776">
            <v>0</v>
          </cell>
          <cell r="EA776">
            <v>0</v>
          </cell>
          <cell r="EB776">
            <v>0</v>
          </cell>
          <cell r="EC776">
            <v>0</v>
          </cell>
        </row>
        <row r="777"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R777">
            <v>0</v>
          </cell>
          <cell r="V777">
            <v>0</v>
          </cell>
          <cell r="W777">
            <v>1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BA777">
            <v>0</v>
          </cell>
          <cell r="BB777">
            <v>0</v>
          </cell>
          <cell r="BH777">
            <v>0</v>
          </cell>
          <cell r="BI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U777">
            <v>0</v>
          </cell>
          <cell r="BV777">
            <v>0</v>
          </cell>
          <cell r="BW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N777">
            <v>0</v>
          </cell>
          <cell r="CO777">
            <v>0</v>
          </cell>
          <cell r="CP777">
            <v>0</v>
          </cell>
          <cell r="CS777">
            <v>0</v>
          </cell>
          <cell r="CU777">
            <v>0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1</v>
          </cell>
          <cell r="DG777">
            <v>0</v>
          </cell>
          <cell r="DH777">
            <v>0</v>
          </cell>
          <cell r="DL777">
            <v>0</v>
          </cell>
          <cell r="DM777">
            <v>0</v>
          </cell>
          <cell r="DO777">
            <v>0</v>
          </cell>
          <cell r="DQ777">
            <v>0</v>
          </cell>
          <cell r="DW777">
            <v>0</v>
          </cell>
          <cell r="DX777">
            <v>0</v>
          </cell>
          <cell r="DY777">
            <v>0</v>
          </cell>
          <cell r="DZ777">
            <v>0</v>
          </cell>
          <cell r="EA777">
            <v>0</v>
          </cell>
          <cell r="EB777">
            <v>0</v>
          </cell>
          <cell r="EC777">
            <v>0</v>
          </cell>
        </row>
        <row r="778"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R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BA778">
            <v>0</v>
          </cell>
          <cell r="BB778">
            <v>0</v>
          </cell>
          <cell r="BH778">
            <v>0</v>
          </cell>
          <cell r="BI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1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U778">
            <v>0</v>
          </cell>
          <cell r="BV778">
            <v>0</v>
          </cell>
          <cell r="BW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N778">
            <v>0</v>
          </cell>
          <cell r="CO778">
            <v>0</v>
          </cell>
          <cell r="CP778">
            <v>0</v>
          </cell>
          <cell r="CS778">
            <v>0</v>
          </cell>
          <cell r="CU778">
            <v>0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L778">
            <v>0</v>
          </cell>
          <cell r="DM778">
            <v>0</v>
          </cell>
          <cell r="DO778">
            <v>0</v>
          </cell>
          <cell r="DQ778">
            <v>0</v>
          </cell>
          <cell r="DW778">
            <v>0</v>
          </cell>
          <cell r="DX778">
            <v>0</v>
          </cell>
          <cell r="DY778">
            <v>0</v>
          </cell>
          <cell r="DZ778">
            <v>0</v>
          </cell>
          <cell r="EA778">
            <v>0</v>
          </cell>
          <cell r="EB778">
            <v>0</v>
          </cell>
          <cell r="EC778">
            <v>0</v>
          </cell>
        </row>
        <row r="779"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R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BA779">
            <v>0</v>
          </cell>
          <cell r="BB779">
            <v>0</v>
          </cell>
          <cell r="BH779">
            <v>0</v>
          </cell>
          <cell r="BI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U779">
            <v>0</v>
          </cell>
          <cell r="BV779">
            <v>0</v>
          </cell>
          <cell r="BW779">
            <v>1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N779">
            <v>0</v>
          </cell>
          <cell r="CO779">
            <v>0</v>
          </cell>
          <cell r="CP779">
            <v>0</v>
          </cell>
          <cell r="CS779">
            <v>0</v>
          </cell>
          <cell r="CU779">
            <v>0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L779">
            <v>0</v>
          </cell>
          <cell r="DM779">
            <v>0</v>
          </cell>
          <cell r="DO779">
            <v>0</v>
          </cell>
          <cell r="DQ779">
            <v>0</v>
          </cell>
          <cell r="DW779">
            <v>0</v>
          </cell>
          <cell r="DX779">
            <v>0</v>
          </cell>
          <cell r="DY779">
            <v>0</v>
          </cell>
          <cell r="DZ779">
            <v>0</v>
          </cell>
          <cell r="EA779">
            <v>0</v>
          </cell>
          <cell r="EB779">
            <v>0</v>
          </cell>
          <cell r="EC779">
            <v>0</v>
          </cell>
        </row>
        <row r="780"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R780">
            <v>0</v>
          </cell>
          <cell r="V780">
            <v>0</v>
          </cell>
          <cell r="W780">
            <v>4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BA780">
            <v>0</v>
          </cell>
          <cell r="BB780">
            <v>0</v>
          </cell>
          <cell r="BH780">
            <v>0</v>
          </cell>
          <cell r="BI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U780">
            <v>0</v>
          </cell>
          <cell r="BV780">
            <v>0</v>
          </cell>
          <cell r="BW780">
            <v>0</v>
          </cell>
          <cell r="BZ780">
            <v>1</v>
          </cell>
          <cell r="CA780">
            <v>0</v>
          </cell>
          <cell r="CB780">
            <v>1</v>
          </cell>
          <cell r="CC780">
            <v>0</v>
          </cell>
          <cell r="CD780">
            <v>0</v>
          </cell>
          <cell r="CE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7</v>
          </cell>
          <cell r="CN780">
            <v>7</v>
          </cell>
          <cell r="CO780">
            <v>0</v>
          </cell>
          <cell r="CP780">
            <v>0</v>
          </cell>
          <cell r="CS780">
            <v>0</v>
          </cell>
          <cell r="CU780">
            <v>1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B780">
            <v>0</v>
          </cell>
          <cell r="DC780">
            <v>1</v>
          </cell>
          <cell r="DD780">
            <v>0</v>
          </cell>
          <cell r="DE780">
            <v>0</v>
          </cell>
          <cell r="DF780">
            <v>0</v>
          </cell>
          <cell r="DG780">
            <v>3</v>
          </cell>
          <cell r="DH780">
            <v>0</v>
          </cell>
          <cell r="DL780">
            <v>0</v>
          </cell>
          <cell r="DM780">
            <v>0</v>
          </cell>
          <cell r="DO780">
            <v>0</v>
          </cell>
          <cell r="DQ780">
            <v>0</v>
          </cell>
          <cell r="DW780">
            <v>8</v>
          </cell>
          <cell r="DX780">
            <v>0</v>
          </cell>
          <cell r="DY780">
            <v>0</v>
          </cell>
          <cell r="DZ780">
            <v>0</v>
          </cell>
          <cell r="EA780">
            <v>0</v>
          </cell>
          <cell r="EB780">
            <v>0</v>
          </cell>
          <cell r="EC780">
            <v>0</v>
          </cell>
        </row>
        <row r="781"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1</v>
          </cell>
          <cell r="R781">
            <v>0</v>
          </cell>
          <cell r="V781">
            <v>0</v>
          </cell>
          <cell r="W781">
            <v>1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BA781">
            <v>0</v>
          </cell>
          <cell r="BB781">
            <v>0</v>
          </cell>
          <cell r="BH781">
            <v>0</v>
          </cell>
          <cell r="BI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U781">
            <v>0</v>
          </cell>
          <cell r="BV781">
            <v>0</v>
          </cell>
          <cell r="BW781">
            <v>1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N781">
            <v>0</v>
          </cell>
          <cell r="CO781">
            <v>0</v>
          </cell>
          <cell r="CP781">
            <v>0</v>
          </cell>
          <cell r="CS781">
            <v>2</v>
          </cell>
          <cell r="CU781">
            <v>0</v>
          </cell>
          <cell r="CV781">
            <v>0</v>
          </cell>
          <cell r="CW781">
            <v>2</v>
          </cell>
          <cell r="CX781">
            <v>0</v>
          </cell>
          <cell r="CY781">
            <v>0</v>
          </cell>
          <cell r="CZ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1</v>
          </cell>
          <cell r="DG781">
            <v>0</v>
          </cell>
          <cell r="DH781">
            <v>0</v>
          </cell>
          <cell r="DL781">
            <v>0</v>
          </cell>
          <cell r="DM781">
            <v>0</v>
          </cell>
          <cell r="DO781">
            <v>0</v>
          </cell>
          <cell r="DQ781">
            <v>0</v>
          </cell>
          <cell r="DW781">
            <v>0</v>
          </cell>
          <cell r="DX781">
            <v>0</v>
          </cell>
          <cell r="DY781">
            <v>0</v>
          </cell>
          <cell r="DZ781">
            <v>0</v>
          </cell>
          <cell r="EA781">
            <v>0</v>
          </cell>
          <cell r="EB781">
            <v>0</v>
          </cell>
          <cell r="EC781">
            <v>0</v>
          </cell>
        </row>
        <row r="782"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2</v>
          </cell>
          <cell r="R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BA782">
            <v>0</v>
          </cell>
          <cell r="BB782">
            <v>0</v>
          </cell>
          <cell r="BH782">
            <v>0</v>
          </cell>
          <cell r="BI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U782">
            <v>0</v>
          </cell>
          <cell r="BV782">
            <v>0</v>
          </cell>
          <cell r="BW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N782">
            <v>0</v>
          </cell>
          <cell r="CO782">
            <v>0</v>
          </cell>
          <cell r="CP782">
            <v>0</v>
          </cell>
          <cell r="CS782">
            <v>0</v>
          </cell>
          <cell r="CU782">
            <v>0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L782">
            <v>0</v>
          </cell>
          <cell r="DM782">
            <v>0</v>
          </cell>
          <cell r="DO782">
            <v>0</v>
          </cell>
          <cell r="DQ782">
            <v>0</v>
          </cell>
          <cell r="DW782">
            <v>0</v>
          </cell>
          <cell r="DX782">
            <v>0</v>
          </cell>
          <cell r="DY782">
            <v>0</v>
          </cell>
          <cell r="DZ782">
            <v>0</v>
          </cell>
          <cell r="EA782">
            <v>0</v>
          </cell>
          <cell r="EB782">
            <v>0</v>
          </cell>
          <cell r="EC782">
            <v>0</v>
          </cell>
        </row>
        <row r="783"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R783">
            <v>0</v>
          </cell>
          <cell r="V783">
            <v>0</v>
          </cell>
          <cell r="W783">
            <v>1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BA783">
            <v>0</v>
          </cell>
          <cell r="BB783">
            <v>0</v>
          </cell>
          <cell r="BH783">
            <v>0</v>
          </cell>
          <cell r="BI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U783">
            <v>0</v>
          </cell>
          <cell r="BV783">
            <v>0</v>
          </cell>
          <cell r="BW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H783">
            <v>2</v>
          </cell>
          <cell r="CI783">
            <v>0</v>
          </cell>
          <cell r="CJ783">
            <v>0</v>
          </cell>
          <cell r="CK783">
            <v>0</v>
          </cell>
          <cell r="CN783">
            <v>0</v>
          </cell>
          <cell r="CO783">
            <v>0</v>
          </cell>
          <cell r="CP783">
            <v>0</v>
          </cell>
          <cell r="CS783">
            <v>0</v>
          </cell>
          <cell r="CU783">
            <v>0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3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1</v>
          </cell>
          <cell r="DL783">
            <v>0</v>
          </cell>
          <cell r="DM783">
            <v>0</v>
          </cell>
          <cell r="DO783">
            <v>0</v>
          </cell>
          <cell r="DQ783">
            <v>0</v>
          </cell>
          <cell r="DW783">
            <v>0</v>
          </cell>
          <cell r="DX783">
            <v>0</v>
          </cell>
          <cell r="DY783">
            <v>0</v>
          </cell>
          <cell r="DZ783">
            <v>0</v>
          </cell>
          <cell r="EA783">
            <v>0</v>
          </cell>
          <cell r="EB783">
            <v>0</v>
          </cell>
          <cell r="EC783">
            <v>0</v>
          </cell>
        </row>
        <row r="784"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R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BA784">
            <v>0</v>
          </cell>
          <cell r="BB784">
            <v>0</v>
          </cell>
          <cell r="BH784">
            <v>0</v>
          </cell>
          <cell r="BI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U784">
            <v>0</v>
          </cell>
          <cell r="BV784">
            <v>0</v>
          </cell>
          <cell r="BW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N784">
            <v>0</v>
          </cell>
          <cell r="CO784">
            <v>0</v>
          </cell>
          <cell r="CP784">
            <v>0</v>
          </cell>
          <cell r="CS784">
            <v>0</v>
          </cell>
          <cell r="CU784">
            <v>0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L784">
            <v>0</v>
          </cell>
          <cell r="DM784">
            <v>0</v>
          </cell>
          <cell r="DO784">
            <v>0</v>
          </cell>
          <cell r="DQ784">
            <v>0</v>
          </cell>
          <cell r="DW784">
            <v>0</v>
          </cell>
          <cell r="DX784">
            <v>0</v>
          </cell>
          <cell r="DY784">
            <v>0</v>
          </cell>
          <cell r="DZ784">
            <v>0</v>
          </cell>
          <cell r="EA784">
            <v>0</v>
          </cell>
          <cell r="EB784">
            <v>0</v>
          </cell>
          <cell r="EC784">
            <v>0</v>
          </cell>
        </row>
        <row r="785"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R785">
            <v>0</v>
          </cell>
          <cell r="V785">
            <v>0</v>
          </cell>
          <cell r="W785">
            <v>1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BA785">
            <v>0</v>
          </cell>
          <cell r="BB785">
            <v>0</v>
          </cell>
          <cell r="BH785">
            <v>0</v>
          </cell>
          <cell r="BI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U785">
            <v>0</v>
          </cell>
          <cell r="BV785">
            <v>0</v>
          </cell>
          <cell r="BW785">
            <v>1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N785">
            <v>0</v>
          </cell>
          <cell r="CO785">
            <v>0</v>
          </cell>
          <cell r="CP785">
            <v>0</v>
          </cell>
          <cell r="CS785">
            <v>0</v>
          </cell>
          <cell r="CU785">
            <v>0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1</v>
          </cell>
          <cell r="DH785">
            <v>0</v>
          </cell>
          <cell r="DL785">
            <v>0</v>
          </cell>
          <cell r="DM785">
            <v>0</v>
          </cell>
          <cell r="DO785">
            <v>0</v>
          </cell>
          <cell r="DQ785">
            <v>0</v>
          </cell>
          <cell r="DW785">
            <v>0</v>
          </cell>
          <cell r="DX785">
            <v>0</v>
          </cell>
          <cell r="DY785">
            <v>0</v>
          </cell>
          <cell r="DZ785">
            <v>0</v>
          </cell>
          <cell r="EA785">
            <v>0</v>
          </cell>
          <cell r="EB785">
            <v>0</v>
          </cell>
          <cell r="EC785">
            <v>0</v>
          </cell>
        </row>
        <row r="786"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R786">
            <v>0</v>
          </cell>
          <cell r="V786">
            <v>0</v>
          </cell>
          <cell r="W786">
            <v>2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BA786">
            <v>0</v>
          </cell>
          <cell r="BB786">
            <v>0</v>
          </cell>
          <cell r="BH786">
            <v>0</v>
          </cell>
          <cell r="BI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U786">
            <v>0</v>
          </cell>
          <cell r="BV786">
            <v>0</v>
          </cell>
          <cell r="BW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N786">
            <v>0</v>
          </cell>
          <cell r="CO786">
            <v>0</v>
          </cell>
          <cell r="CP786">
            <v>0</v>
          </cell>
          <cell r="CS786">
            <v>0</v>
          </cell>
          <cell r="CU786">
            <v>0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2</v>
          </cell>
          <cell r="DG786">
            <v>0</v>
          </cell>
          <cell r="DH786">
            <v>0</v>
          </cell>
          <cell r="DL786">
            <v>0</v>
          </cell>
          <cell r="DM786">
            <v>0</v>
          </cell>
          <cell r="DO786">
            <v>0</v>
          </cell>
          <cell r="DQ786">
            <v>0</v>
          </cell>
          <cell r="DW786">
            <v>0</v>
          </cell>
          <cell r="DX786">
            <v>0</v>
          </cell>
          <cell r="DY786">
            <v>0</v>
          </cell>
          <cell r="DZ786">
            <v>0</v>
          </cell>
          <cell r="EA786">
            <v>0</v>
          </cell>
          <cell r="EB786">
            <v>0</v>
          </cell>
          <cell r="EC786">
            <v>0</v>
          </cell>
        </row>
        <row r="787"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R787">
            <v>0</v>
          </cell>
          <cell r="V787">
            <v>0</v>
          </cell>
          <cell r="W787">
            <v>1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BA787">
            <v>0</v>
          </cell>
          <cell r="BB787">
            <v>0</v>
          </cell>
          <cell r="BH787">
            <v>0</v>
          </cell>
          <cell r="BI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U787">
            <v>0</v>
          </cell>
          <cell r="BV787">
            <v>0</v>
          </cell>
          <cell r="BW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N787">
            <v>0</v>
          </cell>
          <cell r="CO787">
            <v>0</v>
          </cell>
          <cell r="CP787">
            <v>0</v>
          </cell>
          <cell r="CS787">
            <v>0</v>
          </cell>
          <cell r="CU787">
            <v>0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1</v>
          </cell>
          <cell r="DG787">
            <v>0</v>
          </cell>
          <cell r="DH787">
            <v>0</v>
          </cell>
          <cell r="DL787">
            <v>0</v>
          </cell>
          <cell r="DM787">
            <v>0</v>
          </cell>
          <cell r="DO787">
            <v>0</v>
          </cell>
          <cell r="DQ787">
            <v>0</v>
          </cell>
          <cell r="DW787">
            <v>0</v>
          </cell>
          <cell r="DX787">
            <v>0</v>
          </cell>
          <cell r="DY787">
            <v>0</v>
          </cell>
          <cell r="DZ787">
            <v>0</v>
          </cell>
          <cell r="EA787">
            <v>0</v>
          </cell>
          <cell r="EB787">
            <v>0</v>
          </cell>
          <cell r="EC787">
            <v>0</v>
          </cell>
        </row>
        <row r="788"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R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BA788">
            <v>0</v>
          </cell>
          <cell r="BB788">
            <v>0</v>
          </cell>
          <cell r="BH788">
            <v>0</v>
          </cell>
          <cell r="BI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U788">
            <v>0</v>
          </cell>
          <cell r="BV788">
            <v>0</v>
          </cell>
          <cell r="BW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H788">
            <v>4</v>
          </cell>
          <cell r="CI788">
            <v>0</v>
          </cell>
          <cell r="CJ788">
            <v>0</v>
          </cell>
          <cell r="CK788">
            <v>0</v>
          </cell>
          <cell r="CN788">
            <v>0</v>
          </cell>
          <cell r="CO788">
            <v>0</v>
          </cell>
          <cell r="CP788">
            <v>0</v>
          </cell>
          <cell r="CS788">
            <v>0</v>
          </cell>
          <cell r="CU788">
            <v>0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B788">
            <v>6</v>
          </cell>
          <cell r="DC788">
            <v>3</v>
          </cell>
          <cell r="DD788">
            <v>8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L788">
            <v>0</v>
          </cell>
          <cell r="DM788">
            <v>0</v>
          </cell>
          <cell r="DO788">
            <v>0</v>
          </cell>
          <cell r="DQ788">
            <v>0</v>
          </cell>
          <cell r="DW788">
            <v>9</v>
          </cell>
          <cell r="DX788">
            <v>0</v>
          </cell>
          <cell r="DY788">
            <v>0</v>
          </cell>
          <cell r="DZ788">
            <v>0</v>
          </cell>
          <cell r="EA788">
            <v>0</v>
          </cell>
          <cell r="EB788">
            <v>0</v>
          </cell>
          <cell r="EC788">
            <v>0</v>
          </cell>
        </row>
        <row r="789"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R789">
            <v>0</v>
          </cell>
          <cell r="V789">
            <v>0</v>
          </cell>
          <cell r="W789">
            <v>2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BA789">
            <v>0</v>
          </cell>
          <cell r="BB789">
            <v>0</v>
          </cell>
          <cell r="BH789">
            <v>0</v>
          </cell>
          <cell r="BI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U789">
            <v>0</v>
          </cell>
          <cell r="BV789">
            <v>0</v>
          </cell>
          <cell r="BW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1</v>
          </cell>
          <cell r="CN789">
            <v>1</v>
          </cell>
          <cell r="CO789">
            <v>0</v>
          </cell>
          <cell r="CP789">
            <v>0</v>
          </cell>
          <cell r="CS789">
            <v>0</v>
          </cell>
          <cell r="CU789">
            <v>0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1</v>
          </cell>
          <cell r="DG789">
            <v>1</v>
          </cell>
          <cell r="DH789">
            <v>0</v>
          </cell>
          <cell r="DL789">
            <v>0</v>
          </cell>
          <cell r="DM789">
            <v>0</v>
          </cell>
          <cell r="DO789">
            <v>0</v>
          </cell>
          <cell r="DQ789">
            <v>0</v>
          </cell>
          <cell r="DW789">
            <v>0</v>
          </cell>
          <cell r="DX789">
            <v>0</v>
          </cell>
          <cell r="DY789">
            <v>0</v>
          </cell>
          <cell r="DZ789">
            <v>0</v>
          </cell>
          <cell r="EA789">
            <v>0</v>
          </cell>
          <cell r="EB789">
            <v>0</v>
          </cell>
          <cell r="EC789">
            <v>0</v>
          </cell>
        </row>
        <row r="790"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R790">
            <v>0</v>
          </cell>
          <cell r="V790">
            <v>0</v>
          </cell>
          <cell r="W790">
            <v>6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BA790">
            <v>0</v>
          </cell>
          <cell r="BB790">
            <v>0</v>
          </cell>
          <cell r="BH790">
            <v>0</v>
          </cell>
          <cell r="BI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U790">
            <v>0</v>
          </cell>
          <cell r="BV790">
            <v>0</v>
          </cell>
          <cell r="BW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H790">
            <v>0</v>
          </cell>
          <cell r="CI790">
            <v>2</v>
          </cell>
          <cell r="CJ790">
            <v>2</v>
          </cell>
          <cell r="CK790">
            <v>8</v>
          </cell>
          <cell r="CN790">
            <v>8</v>
          </cell>
          <cell r="CO790">
            <v>5</v>
          </cell>
          <cell r="CP790">
            <v>0</v>
          </cell>
          <cell r="CS790">
            <v>0</v>
          </cell>
          <cell r="CU790">
            <v>0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6</v>
          </cell>
          <cell r="DB790">
            <v>0</v>
          </cell>
          <cell r="DC790">
            <v>0</v>
          </cell>
          <cell r="DD790">
            <v>0</v>
          </cell>
          <cell r="DE790">
            <v>1</v>
          </cell>
          <cell r="DF790">
            <v>2</v>
          </cell>
          <cell r="DG790">
            <v>3</v>
          </cell>
          <cell r="DH790">
            <v>0</v>
          </cell>
          <cell r="DL790">
            <v>0</v>
          </cell>
          <cell r="DM790">
            <v>0</v>
          </cell>
          <cell r="DO790">
            <v>0</v>
          </cell>
          <cell r="DQ790">
            <v>0</v>
          </cell>
          <cell r="DW790">
            <v>0</v>
          </cell>
          <cell r="DX790">
            <v>0</v>
          </cell>
          <cell r="DY790">
            <v>0</v>
          </cell>
          <cell r="DZ790">
            <v>0</v>
          </cell>
          <cell r="EA790">
            <v>0</v>
          </cell>
          <cell r="EB790">
            <v>0</v>
          </cell>
          <cell r="EC790">
            <v>0</v>
          </cell>
        </row>
        <row r="791"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R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BA791">
            <v>0</v>
          </cell>
          <cell r="BB791">
            <v>0</v>
          </cell>
          <cell r="BH791">
            <v>0</v>
          </cell>
          <cell r="BI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U791">
            <v>0</v>
          </cell>
          <cell r="BV791">
            <v>0</v>
          </cell>
          <cell r="BW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N791">
            <v>0</v>
          </cell>
          <cell r="CO791">
            <v>0</v>
          </cell>
          <cell r="CP791">
            <v>0</v>
          </cell>
          <cell r="CS791">
            <v>0</v>
          </cell>
          <cell r="CU791">
            <v>0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L791">
            <v>0</v>
          </cell>
          <cell r="DM791">
            <v>0</v>
          </cell>
          <cell r="DO791">
            <v>0</v>
          </cell>
          <cell r="DQ791">
            <v>0</v>
          </cell>
          <cell r="DW791">
            <v>2</v>
          </cell>
          <cell r="DX791">
            <v>0</v>
          </cell>
          <cell r="DY791">
            <v>0</v>
          </cell>
          <cell r="DZ791">
            <v>0</v>
          </cell>
          <cell r="EA791">
            <v>0</v>
          </cell>
          <cell r="EB791">
            <v>0</v>
          </cell>
          <cell r="EC791">
            <v>0</v>
          </cell>
        </row>
        <row r="792"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R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BA792">
            <v>0</v>
          </cell>
          <cell r="BB792">
            <v>0</v>
          </cell>
          <cell r="BH792">
            <v>0</v>
          </cell>
          <cell r="BI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U792">
            <v>0</v>
          </cell>
          <cell r="BV792">
            <v>0</v>
          </cell>
          <cell r="BW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N792">
            <v>0</v>
          </cell>
          <cell r="CO792">
            <v>0</v>
          </cell>
          <cell r="CP792">
            <v>0</v>
          </cell>
          <cell r="CS792">
            <v>0</v>
          </cell>
          <cell r="CU792">
            <v>0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L792">
            <v>0</v>
          </cell>
          <cell r="DM792">
            <v>0</v>
          </cell>
          <cell r="DO792">
            <v>0</v>
          </cell>
          <cell r="DQ792">
            <v>0</v>
          </cell>
          <cell r="DW792">
            <v>0</v>
          </cell>
          <cell r="DX792">
            <v>0</v>
          </cell>
          <cell r="DY792">
            <v>0</v>
          </cell>
          <cell r="DZ792">
            <v>0</v>
          </cell>
          <cell r="EA792">
            <v>0</v>
          </cell>
          <cell r="EB792">
            <v>0</v>
          </cell>
          <cell r="EC792">
            <v>0</v>
          </cell>
        </row>
        <row r="793"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R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BA793">
            <v>0</v>
          </cell>
          <cell r="BB793">
            <v>0</v>
          </cell>
          <cell r="BH793">
            <v>0</v>
          </cell>
          <cell r="BI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U793">
            <v>0</v>
          </cell>
          <cell r="BV793">
            <v>0</v>
          </cell>
          <cell r="BW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H793">
            <v>0</v>
          </cell>
          <cell r="CI793">
            <v>1</v>
          </cell>
          <cell r="CJ793">
            <v>1</v>
          </cell>
          <cell r="CK793">
            <v>0</v>
          </cell>
          <cell r="CN793">
            <v>0</v>
          </cell>
          <cell r="CO793">
            <v>0</v>
          </cell>
          <cell r="CP793">
            <v>0</v>
          </cell>
          <cell r="CS793">
            <v>0</v>
          </cell>
          <cell r="CU793">
            <v>0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H793">
            <v>0</v>
          </cell>
          <cell r="DL793">
            <v>0</v>
          </cell>
          <cell r="DM793">
            <v>0</v>
          </cell>
          <cell r="DO793">
            <v>0</v>
          </cell>
          <cell r="DQ793">
            <v>0</v>
          </cell>
          <cell r="DW793">
            <v>0</v>
          </cell>
          <cell r="DX793">
            <v>0</v>
          </cell>
          <cell r="DY793">
            <v>0</v>
          </cell>
          <cell r="DZ793">
            <v>0</v>
          </cell>
          <cell r="EA793">
            <v>0</v>
          </cell>
          <cell r="EB793">
            <v>0</v>
          </cell>
          <cell r="EC793">
            <v>0</v>
          </cell>
        </row>
        <row r="794"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R794">
            <v>0</v>
          </cell>
          <cell r="V794">
            <v>0</v>
          </cell>
          <cell r="W794">
            <v>1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BA794">
            <v>0</v>
          </cell>
          <cell r="BB794">
            <v>0</v>
          </cell>
          <cell r="BH794">
            <v>0</v>
          </cell>
          <cell r="BI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U794">
            <v>0</v>
          </cell>
          <cell r="BV794">
            <v>0</v>
          </cell>
          <cell r="BW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N794">
            <v>0</v>
          </cell>
          <cell r="CO794">
            <v>0</v>
          </cell>
          <cell r="CP794">
            <v>0</v>
          </cell>
          <cell r="CS794">
            <v>0</v>
          </cell>
          <cell r="CU794">
            <v>0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H794">
            <v>1</v>
          </cell>
          <cell r="DL794">
            <v>0</v>
          </cell>
          <cell r="DM794">
            <v>0</v>
          </cell>
          <cell r="DO794">
            <v>0</v>
          </cell>
          <cell r="DQ794">
            <v>0</v>
          </cell>
          <cell r="DW794">
            <v>0</v>
          </cell>
          <cell r="DX794">
            <v>0</v>
          </cell>
          <cell r="DY794">
            <v>0</v>
          </cell>
          <cell r="DZ794">
            <v>0</v>
          </cell>
          <cell r="EA794">
            <v>0</v>
          </cell>
          <cell r="EB794">
            <v>0</v>
          </cell>
          <cell r="EC794">
            <v>0</v>
          </cell>
        </row>
        <row r="795"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R795">
            <v>0</v>
          </cell>
          <cell r="V795">
            <v>0</v>
          </cell>
          <cell r="W795">
            <v>1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BA795">
            <v>0</v>
          </cell>
          <cell r="BB795">
            <v>0</v>
          </cell>
          <cell r="BH795">
            <v>0</v>
          </cell>
          <cell r="BI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U795">
            <v>0</v>
          </cell>
          <cell r="BV795">
            <v>0</v>
          </cell>
          <cell r="BW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N795">
            <v>0</v>
          </cell>
          <cell r="CO795">
            <v>0</v>
          </cell>
          <cell r="CP795">
            <v>0</v>
          </cell>
          <cell r="CS795">
            <v>0</v>
          </cell>
          <cell r="CU795">
            <v>0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1</v>
          </cell>
          <cell r="DH795">
            <v>0</v>
          </cell>
          <cell r="DL795">
            <v>0</v>
          </cell>
          <cell r="DM795">
            <v>0</v>
          </cell>
          <cell r="DO795">
            <v>0</v>
          </cell>
          <cell r="DQ795">
            <v>0</v>
          </cell>
          <cell r="DW795">
            <v>0</v>
          </cell>
          <cell r="DX795">
            <v>0</v>
          </cell>
          <cell r="DY795">
            <v>0</v>
          </cell>
          <cell r="DZ795">
            <v>0</v>
          </cell>
          <cell r="EA795">
            <v>0</v>
          </cell>
          <cell r="EB795">
            <v>0</v>
          </cell>
          <cell r="EC795">
            <v>0</v>
          </cell>
        </row>
        <row r="796"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R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U796">
            <v>2</v>
          </cell>
          <cell r="AV796">
            <v>2</v>
          </cell>
          <cell r="AW796">
            <v>2</v>
          </cell>
          <cell r="AX796">
            <v>0</v>
          </cell>
          <cell r="AY796">
            <v>0</v>
          </cell>
          <cell r="BA796">
            <v>0</v>
          </cell>
          <cell r="BB796">
            <v>0</v>
          </cell>
          <cell r="BH796">
            <v>0</v>
          </cell>
          <cell r="BI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U796">
            <v>0</v>
          </cell>
          <cell r="BV796">
            <v>0</v>
          </cell>
          <cell r="BW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N796">
            <v>0</v>
          </cell>
          <cell r="CO796">
            <v>0</v>
          </cell>
          <cell r="CP796">
            <v>0</v>
          </cell>
          <cell r="CS796">
            <v>0</v>
          </cell>
          <cell r="CU796">
            <v>0</v>
          </cell>
          <cell r="CV796">
            <v>10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H796">
            <v>0</v>
          </cell>
          <cell r="DL796">
            <v>0</v>
          </cell>
          <cell r="DM796">
            <v>0</v>
          </cell>
          <cell r="DO796">
            <v>0</v>
          </cell>
          <cell r="DQ796">
            <v>0</v>
          </cell>
          <cell r="DW796">
            <v>0</v>
          </cell>
          <cell r="DX796">
            <v>0</v>
          </cell>
          <cell r="DY796">
            <v>0</v>
          </cell>
          <cell r="DZ796">
            <v>0</v>
          </cell>
          <cell r="EA796">
            <v>0</v>
          </cell>
          <cell r="EB796">
            <v>0</v>
          </cell>
          <cell r="EC796">
            <v>0</v>
          </cell>
        </row>
        <row r="797"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R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U797">
            <v>1</v>
          </cell>
          <cell r="AV797">
            <v>1</v>
          </cell>
          <cell r="AW797">
            <v>0</v>
          </cell>
          <cell r="AX797">
            <v>0</v>
          </cell>
          <cell r="AY797">
            <v>0</v>
          </cell>
          <cell r="BA797">
            <v>0</v>
          </cell>
          <cell r="BB797">
            <v>0</v>
          </cell>
          <cell r="BH797">
            <v>0</v>
          </cell>
          <cell r="BI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U797">
            <v>0</v>
          </cell>
          <cell r="BV797">
            <v>0</v>
          </cell>
          <cell r="BW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N797">
            <v>0</v>
          </cell>
          <cell r="CO797">
            <v>0</v>
          </cell>
          <cell r="CP797">
            <v>0</v>
          </cell>
          <cell r="CS797">
            <v>0</v>
          </cell>
          <cell r="CU797">
            <v>0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L797">
            <v>0</v>
          </cell>
          <cell r="DM797">
            <v>0</v>
          </cell>
          <cell r="DO797">
            <v>0</v>
          </cell>
          <cell r="DQ797">
            <v>0</v>
          </cell>
          <cell r="DW797">
            <v>0</v>
          </cell>
          <cell r="DX797">
            <v>0</v>
          </cell>
          <cell r="DY797">
            <v>0</v>
          </cell>
          <cell r="DZ797">
            <v>0</v>
          </cell>
          <cell r="EA797">
            <v>0</v>
          </cell>
          <cell r="EB797">
            <v>0</v>
          </cell>
          <cell r="EC797">
            <v>0</v>
          </cell>
        </row>
        <row r="798"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R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BA798">
            <v>0</v>
          </cell>
          <cell r="BB798">
            <v>0</v>
          </cell>
          <cell r="BH798">
            <v>0</v>
          </cell>
          <cell r="BI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U798">
            <v>0</v>
          </cell>
          <cell r="BV798">
            <v>0</v>
          </cell>
          <cell r="BW798">
            <v>1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N798">
            <v>0</v>
          </cell>
          <cell r="CO798">
            <v>0</v>
          </cell>
          <cell r="CP798">
            <v>0</v>
          </cell>
          <cell r="CS798">
            <v>0</v>
          </cell>
          <cell r="CU798">
            <v>0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L798">
            <v>0</v>
          </cell>
          <cell r="DM798">
            <v>0</v>
          </cell>
          <cell r="DO798">
            <v>0</v>
          </cell>
          <cell r="DQ798">
            <v>0</v>
          </cell>
          <cell r="DW798">
            <v>0</v>
          </cell>
          <cell r="DX798">
            <v>0</v>
          </cell>
          <cell r="DY798">
            <v>0</v>
          </cell>
          <cell r="DZ798">
            <v>0</v>
          </cell>
          <cell r="EA798">
            <v>0</v>
          </cell>
          <cell r="EB798">
            <v>0</v>
          </cell>
          <cell r="EC798">
            <v>0</v>
          </cell>
        </row>
        <row r="799"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R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U799">
            <v>0</v>
          </cell>
          <cell r="AV799">
            <v>0</v>
          </cell>
          <cell r="AW799">
            <v>1</v>
          </cell>
          <cell r="AX799">
            <v>0</v>
          </cell>
          <cell r="AY799">
            <v>0</v>
          </cell>
          <cell r="BA799">
            <v>0</v>
          </cell>
          <cell r="BB799">
            <v>0</v>
          </cell>
          <cell r="BH799">
            <v>0</v>
          </cell>
          <cell r="BI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U799">
            <v>0</v>
          </cell>
          <cell r="BV799">
            <v>0</v>
          </cell>
          <cell r="BW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N799">
            <v>0</v>
          </cell>
          <cell r="CO799">
            <v>0</v>
          </cell>
          <cell r="CP799">
            <v>0</v>
          </cell>
          <cell r="CS799">
            <v>0</v>
          </cell>
          <cell r="CU799">
            <v>0</v>
          </cell>
          <cell r="CV799">
            <v>9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B799">
            <v>1</v>
          </cell>
          <cell r="DC799">
            <v>0</v>
          </cell>
          <cell r="DD799">
            <v>1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L799">
            <v>0</v>
          </cell>
          <cell r="DM799">
            <v>0</v>
          </cell>
          <cell r="DO799">
            <v>0</v>
          </cell>
          <cell r="DQ799">
            <v>0</v>
          </cell>
          <cell r="DW799">
            <v>0</v>
          </cell>
          <cell r="DX799">
            <v>0</v>
          </cell>
          <cell r="DY799">
            <v>0</v>
          </cell>
          <cell r="DZ799">
            <v>0</v>
          </cell>
          <cell r="EA799">
            <v>0</v>
          </cell>
          <cell r="EB799">
            <v>0</v>
          </cell>
          <cell r="EC799">
            <v>0</v>
          </cell>
        </row>
        <row r="800"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R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BA800">
            <v>0</v>
          </cell>
          <cell r="BB800">
            <v>0</v>
          </cell>
          <cell r="BH800">
            <v>16</v>
          </cell>
          <cell r="BI800">
            <v>16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U800">
            <v>0</v>
          </cell>
          <cell r="BV800">
            <v>0</v>
          </cell>
          <cell r="BW800">
            <v>0</v>
          </cell>
          <cell r="BZ800">
            <v>1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1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N800">
            <v>0</v>
          </cell>
          <cell r="CO800">
            <v>0</v>
          </cell>
          <cell r="CP800">
            <v>0</v>
          </cell>
          <cell r="CS800">
            <v>0</v>
          </cell>
          <cell r="CU800">
            <v>0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H800">
            <v>0</v>
          </cell>
          <cell r="DL800">
            <v>0</v>
          </cell>
          <cell r="DM800">
            <v>0</v>
          </cell>
          <cell r="DO800">
            <v>0</v>
          </cell>
          <cell r="DQ800">
            <v>0</v>
          </cell>
          <cell r="DW800">
            <v>0</v>
          </cell>
          <cell r="DX800">
            <v>0</v>
          </cell>
          <cell r="DY800">
            <v>0</v>
          </cell>
          <cell r="DZ800">
            <v>0</v>
          </cell>
          <cell r="EA800">
            <v>0</v>
          </cell>
          <cell r="EB800">
            <v>0</v>
          </cell>
          <cell r="EC800">
            <v>0</v>
          </cell>
        </row>
        <row r="801"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R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U801">
            <v>0</v>
          </cell>
          <cell r="AV801">
            <v>0</v>
          </cell>
          <cell r="AW801">
            <v>1</v>
          </cell>
          <cell r="AX801">
            <v>0</v>
          </cell>
          <cell r="AY801">
            <v>0</v>
          </cell>
          <cell r="BA801">
            <v>0</v>
          </cell>
          <cell r="BB801">
            <v>0</v>
          </cell>
          <cell r="BH801">
            <v>0</v>
          </cell>
          <cell r="BI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U801">
            <v>0</v>
          </cell>
          <cell r="BV801">
            <v>0</v>
          </cell>
          <cell r="BW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N801">
            <v>0</v>
          </cell>
          <cell r="CO801">
            <v>0</v>
          </cell>
          <cell r="CP801">
            <v>0</v>
          </cell>
          <cell r="CS801">
            <v>0</v>
          </cell>
          <cell r="CU801">
            <v>0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L801">
            <v>0</v>
          </cell>
          <cell r="DM801">
            <v>0</v>
          </cell>
          <cell r="DO801">
            <v>0</v>
          </cell>
          <cell r="DQ801">
            <v>0</v>
          </cell>
          <cell r="DW801">
            <v>0</v>
          </cell>
          <cell r="DX801">
            <v>0</v>
          </cell>
          <cell r="DY801">
            <v>0</v>
          </cell>
          <cell r="DZ801">
            <v>0</v>
          </cell>
          <cell r="EA801">
            <v>0</v>
          </cell>
          <cell r="EB801">
            <v>0</v>
          </cell>
          <cell r="EC801">
            <v>0</v>
          </cell>
        </row>
        <row r="802"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R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BA802">
            <v>0</v>
          </cell>
          <cell r="BB802">
            <v>0</v>
          </cell>
          <cell r="BH802">
            <v>0</v>
          </cell>
          <cell r="BI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U802">
            <v>0</v>
          </cell>
          <cell r="BV802">
            <v>0</v>
          </cell>
          <cell r="BW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N802">
            <v>0</v>
          </cell>
          <cell r="CO802">
            <v>0</v>
          </cell>
          <cell r="CP802">
            <v>0</v>
          </cell>
          <cell r="CS802">
            <v>0</v>
          </cell>
          <cell r="CU802">
            <v>0</v>
          </cell>
          <cell r="CV802">
            <v>3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L802">
            <v>0</v>
          </cell>
          <cell r="DM802">
            <v>0</v>
          </cell>
          <cell r="DO802">
            <v>0</v>
          </cell>
          <cell r="DQ802">
            <v>0</v>
          </cell>
          <cell r="DW802">
            <v>0</v>
          </cell>
          <cell r="DX802">
            <v>0</v>
          </cell>
          <cell r="DY802">
            <v>0</v>
          </cell>
          <cell r="DZ802">
            <v>0</v>
          </cell>
          <cell r="EA802">
            <v>0</v>
          </cell>
          <cell r="EB802">
            <v>0</v>
          </cell>
          <cell r="EC802">
            <v>0</v>
          </cell>
        </row>
        <row r="803"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R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BA803">
            <v>0</v>
          </cell>
          <cell r="BB803">
            <v>0</v>
          </cell>
          <cell r="BH803">
            <v>0</v>
          </cell>
          <cell r="BI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U803">
            <v>0</v>
          </cell>
          <cell r="BV803">
            <v>0</v>
          </cell>
          <cell r="BW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N803">
            <v>0</v>
          </cell>
          <cell r="CO803">
            <v>0</v>
          </cell>
          <cell r="CP803">
            <v>0</v>
          </cell>
          <cell r="CS803">
            <v>0</v>
          </cell>
          <cell r="CU803">
            <v>0</v>
          </cell>
          <cell r="CV803">
            <v>3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L803">
            <v>0</v>
          </cell>
          <cell r="DM803">
            <v>0</v>
          </cell>
          <cell r="DO803">
            <v>0</v>
          </cell>
          <cell r="DQ803">
            <v>0</v>
          </cell>
          <cell r="DW803">
            <v>0</v>
          </cell>
          <cell r="DX803">
            <v>0</v>
          </cell>
          <cell r="DY803">
            <v>0</v>
          </cell>
          <cell r="DZ803">
            <v>0</v>
          </cell>
          <cell r="EA803">
            <v>0</v>
          </cell>
          <cell r="EB803">
            <v>0</v>
          </cell>
          <cell r="EC803">
            <v>0</v>
          </cell>
        </row>
        <row r="804"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R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BA804">
            <v>0</v>
          </cell>
          <cell r="BB804">
            <v>0</v>
          </cell>
          <cell r="BH804">
            <v>0</v>
          </cell>
          <cell r="BI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U804">
            <v>0</v>
          </cell>
          <cell r="BV804">
            <v>0</v>
          </cell>
          <cell r="BW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N804">
            <v>0</v>
          </cell>
          <cell r="CO804">
            <v>0</v>
          </cell>
          <cell r="CP804">
            <v>0</v>
          </cell>
          <cell r="CS804">
            <v>0</v>
          </cell>
          <cell r="CU804">
            <v>0</v>
          </cell>
          <cell r="CV804">
            <v>3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L804">
            <v>0</v>
          </cell>
          <cell r="DM804">
            <v>0</v>
          </cell>
          <cell r="DO804">
            <v>0</v>
          </cell>
          <cell r="DQ804">
            <v>0</v>
          </cell>
          <cell r="DW804">
            <v>0</v>
          </cell>
          <cell r="DX804">
            <v>0</v>
          </cell>
          <cell r="DY804">
            <v>0</v>
          </cell>
          <cell r="DZ804">
            <v>0</v>
          </cell>
          <cell r="EA804">
            <v>0</v>
          </cell>
          <cell r="EB804">
            <v>0</v>
          </cell>
          <cell r="EC804">
            <v>0</v>
          </cell>
        </row>
        <row r="805"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R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U805">
            <v>0</v>
          </cell>
          <cell r="AV805">
            <v>0</v>
          </cell>
          <cell r="AW805">
            <v>1</v>
          </cell>
          <cell r="AX805">
            <v>0</v>
          </cell>
          <cell r="AY805">
            <v>0</v>
          </cell>
          <cell r="BA805">
            <v>0</v>
          </cell>
          <cell r="BB805">
            <v>0</v>
          </cell>
          <cell r="BH805">
            <v>0</v>
          </cell>
          <cell r="BI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U805">
            <v>0</v>
          </cell>
          <cell r="BV805">
            <v>0</v>
          </cell>
          <cell r="BW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N805">
            <v>0</v>
          </cell>
          <cell r="CO805">
            <v>0</v>
          </cell>
          <cell r="CP805">
            <v>0</v>
          </cell>
          <cell r="CS805">
            <v>0</v>
          </cell>
          <cell r="CU805">
            <v>0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L805">
            <v>0</v>
          </cell>
          <cell r="DM805">
            <v>0</v>
          </cell>
          <cell r="DO805">
            <v>0</v>
          </cell>
          <cell r="DQ805">
            <v>0</v>
          </cell>
          <cell r="DW805">
            <v>0</v>
          </cell>
          <cell r="DX805">
            <v>0</v>
          </cell>
          <cell r="DY805">
            <v>0</v>
          </cell>
          <cell r="DZ805">
            <v>0</v>
          </cell>
          <cell r="EA805">
            <v>0</v>
          </cell>
          <cell r="EB805">
            <v>0</v>
          </cell>
          <cell r="EC805">
            <v>0</v>
          </cell>
        </row>
        <row r="806"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R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BA806">
            <v>0</v>
          </cell>
          <cell r="BB806">
            <v>0</v>
          </cell>
          <cell r="BH806">
            <v>0</v>
          </cell>
          <cell r="BI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U806">
            <v>0</v>
          </cell>
          <cell r="BV806">
            <v>0</v>
          </cell>
          <cell r="BW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N806">
            <v>0</v>
          </cell>
          <cell r="CO806">
            <v>0</v>
          </cell>
          <cell r="CP806">
            <v>0</v>
          </cell>
          <cell r="CS806">
            <v>0</v>
          </cell>
          <cell r="CU806">
            <v>0</v>
          </cell>
          <cell r="CV806">
            <v>6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H806">
            <v>0</v>
          </cell>
          <cell r="DL806">
            <v>0</v>
          </cell>
          <cell r="DM806">
            <v>0</v>
          </cell>
          <cell r="DO806">
            <v>0</v>
          </cell>
          <cell r="DQ806">
            <v>0</v>
          </cell>
          <cell r="DW806">
            <v>0</v>
          </cell>
          <cell r="DX806">
            <v>0</v>
          </cell>
          <cell r="DY806">
            <v>0</v>
          </cell>
          <cell r="DZ806">
            <v>0</v>
          </cell>
          <cell r="EA806">
            <v>0</v>
          </cell>
          <cell r="EB806">
            <v>0</v>
          </cell>
          <cell r="EC806">
            <v>0</v>
          </cell>
        </row>
        <row r="807"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R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BA807">
            <v>0</v>
          </cell>
          <cell r="BB807">
            <v>0</v>
          </cell>
          <cell r="BH807">
            <v>0</v>
          </cell>
          <cell r="BI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U807">
            <v>0</v>
          </cell>
          <cell r="BV807">
            <v>0</v>
          </cell>
          <cell r="BW807">
            <v>1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N807">
            <v>0</v>
          </cell>
          <cell r="CO807">
            <v>0</v>
          </cell>
          <cell r="CP807">
            <v>0</v>
          </cell>
          <cell r="CS807">
            <v>0</v>
          </cell>
          <cell r="CU807">
            <v>0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L807">
            <v>0</v>
          </cell>
          <cell r="DM807">
            <v>0</v>
          </cell>
          <cell r="DO807">
            <v>0</v>
          </cell>
          <cell r="DQ807">
            <v>0</v>
          </cell>
          <cell r="DW807">
            <v>0</v>
          </cell>
          <cell r="DX807">
            <v>0</v>
          </cell>
          <cell r="DY807">
            <v>0</v>
          </cell>
          <cell r="DZ807">
            <v>0</v>
          </cell>
          <cell r="EA807">
            <v>0</v>
          </cell>
          <cell r="EB807">
            <v>0</v>
          </cell>
          <cell r="EC807">
            <v>0</v>
          </cell>
        </row>
        <row r="808"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R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U808">
            <v>1</v>
          </cell>
          <cell r="AV808">
            <v>2</v>
          </cell>
          <cell r="AW808">
            <v>0</v>
          </cell>
          <cell r="AX808">
            <v>0</v>
          </cell>
          <cell r="AY808">
            <v>0</v>
          </cell>
          <cell r="BA808">
            <v>0</v>
          </cell>
          <cell r="BB808">
            <v>0</v>
          </cell>
          <cell r="BH808">
            <v>0</v>
          </cell>
          <cell r="BI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U808">
            <v>0</v>
          </cell>
          <cell r="BV808">
            <v>0</v>
          </cell>
          <cell r="BW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N808">
            <v>0</v>
          </cell>
          <cell r="CO808">
            <v>0</v>
          </cell>
          <cell r="CP808">
            <v>0</v>
          </cell>
          <cell r="CS808">
            <v>0</v>
          </cell>
          <cell r="CU808">
            <v>0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L808">
            <v>0</v>
          </cell>
          <cell r="DM808">
            <v>0</v>
          </cell>
          <cell r="DO808">
            <v>0</v>
          </cell>
          <cell r="DQ808">
            <v>0</v>
          </cell>
          <cell r="DW808">
            <v>0</v>
          </cell>
          <cell r="DX808">
            <v>0</v>
          </cell>
          <cell r="DY808">
            <v>0</v>
          </cell>
          <cell r="DZ808">
            <v>0</v>
          </cell>
          <cell r="EA808">
            <v>0</v>
          </cell>
          <cell r="EB808">
            <v>0</v>
          </cell>
          <cell r="EC808">
            <v>0</v>
          </cell>
        </row>
        <row r="809"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R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BA809">
            <v>0</v>
          </cell>
          <cell r="BB809">
            <v>0</v>
          </cell>
          <cell r="BH809">
            <v>0</v>
          </cell>
          <cell r="BI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U809">
            <v>0</v>
          </cell>
          <cell r="BV809">
            <v>0</v>
          </cell>
          <cell r="BW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N809">
            <v>0</v>
          </cell>
          <cell r="CO809">
            <v>0</v>
          </cell>
          <cell r="CP809">
            <v>0</v>
          </cell>
          <cell r="CS809">
            <v>0</v>
          </cell>
          <cell r="CU809">
            <v>0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B809">
            <v>1</v>
          </cell>
          <cell r="DC809">
            <v>0</v>
          </cell>
          <cell r="DD809">
            <v>1</v>
          </cell>
          <cell r="DE809">
            <v>0</v>
          </cell>
          <cell r="DF809">
            <v>0</v>
          </cell>
          <cell r="DG809">
            <v>0</v>
          </cell>
          <cell r="DH809">
            <v>0</v>
          </cell>
          <cell r="DL809">
            <v>0</v>
          </cell>
          <cell r="DM809">
            <v>0</v>
          </cell>
          <cell r="DO809">
            <v>0</v>
          </cell>
          <cell r="DQ809">
            <v>0</v>
          </cell>
          <cell r="DW809">
            <v>0</v>
          </cell>
          <cell r="DX809">
            <v>0</v>
          </cell>
          <cell r="DY809">
            <v>0</v>
          </cell>
          <cell r="DZ809">
            <v>0</v>
          </cell>
          <cell r="EA809">
            <v>0</v>
          </cell>
          <cell r="EB809">
            <v>0</v>
          </cell>
          <cell r="EC809">
            <v>0</v>
          </cell>
        </row>
        <row r="810"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R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BA810">
            <v>0</v>
          </cell>
          <cell r="BB810">
            <v>0</v>
          </cell>
          <cell r="BH810">
            <v>0</v>
          </cell>
          <cell r="BI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U810">
            <v>0</v>
          </cell>
          <cell r="BV810">
            <v>0</v>
          </cell>
          <cell r="BW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N810">
            <v>0</v>
          </cell>
          <cell r="CO810">
            <v>0</v>
          </cell>
          <cell r="CP810">
            <v>0</v>
          </cell>
          <cell r="CS810">
            <v>0</v>
          </cell>
          <cell r="CU810">
            <v>0</v>
          </cell>
          <cell r="CV810">
            <v>3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H810">
            <v>0</v>
          </cell>
          <cell r="DL810">
            <v>0</v>
          </cell>
          <cell r="DM810">
            <v>0</v>
          </cell>
          <cell r="DO810">
            <v>0</v>
          </cell>
          <cell r="DQ810">
            <v>0</v>
          </cell>
          <cell r="DW810">
            <v>0</v>
          </cell>
          <cell r="DX810">
            <v>0</v>
          </cell>
          <cell r="DY810">
            <v>0</v>
          </cell>
          <cell r="DZ810">
            <v>0</v>
          </cell>
          <cell r="EA810">
            <v>0</v>
          </cell>
          <cell r="EB810">
            <v>0</v>
          </cell>
          <cell r="EC810">
            <v>0</v>
          </cell>
        </row>
        <row r="811"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R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U811">
            <v>0</v>
          </cell>
          <cell r="AV811">
            <v>0</v>
          </cell>
          <cell r="AW811">
            <v>1</v>
          </cell>
          <cell r="AX811">
            <v>0</v>
          </cell>
          <cell r="AY811">
            <v>0</v>
          </cell>
          <cell r="BA811">
            <v>0</v>
          </cell>
          <cell r="BB811">
            <v>0</v>
          </cell>
          <cell r="BH811">
            <v>0</v>
          </cell>
          <cell r="BI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U811">
            <v>0</v>
          </cell>
          <cell r="BV811">
            <v>0</v>
          </cell>
          <cell r="BW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N811">
            <v>0</v>
          </cell>
          <cell r="CO811">
            <v>0</v>
          </cell>
          <cell r="CP811">
            <v>0</v>
          </cell>
          <cell r="CS811">
            <v>0</v>
          </cell>
          <cell r="CU811">
            <v>0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H811">
            <v>0</v>
          </cell>
          <cell r="DL811">
            <v>0</v>
          </cell>
          <cell r="DM811">
            <v>0</v>
          </cell>
          <cell r="DO811">
            <v>0</v>
          </cell>
          <cell r="DQ811">
            <v>0</v>
          </cell>
          <cell r="DW811">
            <v>0</v>
          </cell>
          <cell r="DX811">
            <v>0</v>
          </cell>
          <cell r="DY811">
            <v>0</v>
          </cell>
          <cell r="DZ811">
            <v>0</v>
          </cell>
          <cell r="EA811">
            <v>0</v>
          </cell>
          <cell r="EB811">
            <v>0</v>
          </cell>
          <cell r="EC811">
            <v>0</v>
          </cell>
        </row>
        <row r="812"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R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BA812">
            <v>0</v>
          </cell>
          <cell r="BB812">
            <v>0</v>
          </cell>
          <cell r="BH812">
            <v>0</v>
          </cell>
          <cell r="BI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U812">
            <v>0</v>
          </cell>
          <cell r="BV812">
            <v>0</v>
          </cell>
          <cell r="BW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N812">
            <v>0</v>
          </cell>
          <cell r="CO812">
            <v>0</v>
          </cell>
          <cell r="CP812">
            <v>0</v>
          </cell>
          <cell r="CS812">
            <v>0</v>
          </cell>
          <cell r="CU812">
            <v>0</v>
          </cell>
          <cell r="CV812">
            <v>6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L812">
            <v>0</v>
          </cell>
          <cell r="DM812">
            <v>0</v>
          </cell>
          <cell r="DO812">
            <v>0</v>
          </cell>
          <cell r="DQ812">
            <v>0</v>
          </cell>
          <cell r="DW812">
            <v>0</v>
          </cell>
          <cell r="DX812">
            <v>0</v>
          </cell>
          <cell r="DY812">
            <v>0</v>
          </cell>
          <cell r="DZ812">
            <v>0</v>
          </cell>
          <cell r="EA812">
            <v>0</v>
          </cell>
          <cell r="EB812">
            <v>0</v>
          </cell>
          <cell r="EC812">
            <v>0</v>
          </cell>
        </row>
        <row r="813"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R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BA813">
            <v>0</v>
          </cell>
          <cell r="BB813">
            <v>0</v>
          </cell>
          <cell r="BH813">
            <v>0</v>
          </cell>
          <cell r="BI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U813">
            <v>0</v>
          </cell>
          <cell r="BV813">
            <v>0</v>
          </cell>
          <cell r="BW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1</v>
          </cell>
          <cell r="CE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N813">
            <v>0</v>
          </cell>
          <cell r="CO813">
            <v>0</v>
          </cell>
          <cell r="CP813">
            <v>0</v>
          </cell>
          <cell r="CS813">
            <v>0</v>
          </cell>
          <cell r="CU813">
            <v>0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L813">
            <v>0</v>
          </cell>
          <cell r="DM813">
            <v>0</v>
          </cell>
          <cell r="DO813">
            <v>0</v>
          </cell>
          <cell r="DQ813">
            <v>0</v>
          </cell>
          <cell r="DW813">
            <v>0</v>
          </cell>
          <cell r="DX813">
            <v>0</v>
          </cell>
          <cell r="DY813">
            <v>0</v>
          </cell>
          <cell r="DZ813">
            <v>0</v>
          </cell>
          <cell r="EA813">
            <v>0</v>
          </cell>
          <cell r="EB813">
            <v>0</v>
          </cell>
          <cell r="EC813">
            <v>0</v>
          </cell>
        </row>
        <row r="814"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R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U814">
            <v>0</v>
          </cell>
          <cell r="AV814">
            <v>0</v>
          </cell>
          <cell r="AW814">
            <v>3</v>
          </cell>
          <cell r="AX814">
            <v>0</v>
          </cell>
          <cell r="AY814">
            <v>0</v>
          </cell>
          <cell r="BA814">
            <v>0</v>
          </cell>
          <cell r="BB814">
            <v>0</v>
          </cell>
          <cell r="BH814">
            <v>0</v>
          </cell>
          <cell r="BI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U814">
            <v>0</v>
          </cell>
          <cell r="BV814">
            <v>0</v>
          </cell>
          <cell r="BW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N814">
            <v>0</v>
          </cell>
          <cell r="CO814">
            <v>0</v>
          </cell>
          <cell r="CP814">
            <v>0</v>
          </cell>
          <cell r="CS814">
            <v>0</v>
          </cell>
          <cell r="CU814">
            <v>0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H814">
            <v>0</v>
          </cell>
          <cell r="DL814">
            <v>0</v>
          </cell>
          <cell r="DM814">
            <v>0</v>
          </cell>
          <cell r="DO814">
            <v>0</v>
          </cell>
          <cell r="DQ814">
            <v>0</v>
          </cell>
          <cell r="DW814">
            <v>0</v>
          </cell>
          <cell r="DX814">
            <v>0</v>
          </cell>
          <cell r="DY814">
            <v>0</v>
          </cell>
          <cell r="DZ814">
            <v>0</v>
          </cell>
          <cell r="EA814">
            <v>0</v>
          </cell>
          <cell r="EB814">
            <v>0</v>
          </cell>
          <cell r="EC814">
            <v>0</v>
          </cell>
        </row>
        <row r="815"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R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U815">
            <v>0</v>
          </cell>
          <cell r="AV815">
            <v>0</v>
          </cell>
          <cell r="AW815">
            <v>1</v>
          </cell>
          <cell r="AX815">
            <v>0</v>
          </cell>
          <cell r="AY815">
            <v>0</v>
          </cell>
          <cell r="BA815">
            <v>0</v>
          </cell>
          <cell r="BB815">
            <v>0</v>
          </cell>
          <cell r="BH815">
            <v>0</v>
          </cell>
          <cell r="BI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U815">
            <v>0</v>
          </cell>
          <cell r="BV815">
            <v>0</v>
          </cell>
          <cell r="BW815">
            <v>2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N815">
            <v>0</v>
          </cell>
          <cell r="CO815">
            <v>0</v>
          </cell>
          <cell r="CP815">
            <v>0</v>
          </cell>
          <cell r="CS815">
            <v>0</v>
          </cell>
          <cell r="CU815">
            <v>0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H815">
            <v>0</v>
          </cell>
          <cell r="DL815">
            <v>0</v>
          </cell>
          <cell r="DM815">
            <v>0</v>
          </cell>
          <cell r="DO815">
            <v>0</v>
          </cell>
          <cell r="DQ815">
            <v>0</v>
          </cell>
          <cell r="DW815">
            <v>0</v>
          </cell>
          <cell r="DX815">
            <v>0</v>
          </cell>
          <cell r="DY815">
            <v>0</v>
          </cell>
          <cell r="DZ815">
            <v>0</v>
          </cell>
          <cell r="EA815">
            <v>0</v>
          </cell>
          <cell r="EB815">
            <v>0</v>
          </cell>
          <cell r="EC815">
            <v>0</v>
          </cell>
        </row>
        <row r="816"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R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U816">
            <v>0</v>
          </cell>
          <cell r="AV816">
            <v>0</v>
          </cell>
          <cell r="AW816">
            <v>2</v>
          </cell>
          <cell r="AX816">
            <v>0</v>
          </cell>
          <cell r="AY816">
            <v>0</v>
          </cell>
          <cell r="BA816">
            <v>0</v>
          </cell>
          <cell r="BB816">
            <v>0</v>
          </cell>
          <cell r="BH816">
            <v>0</v>
          </cell>
          <cell r="BI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U816">
            <v>0</v>
          </cell>
          <cell r="BV816">
            <v>0</v>
          </cell>
          <cell r="BW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N816">
            <v>0</v>
          </cell>
          <cell r="CO816">
            <v>0</v>
          </cell>
          <cell r="CP816">
            <v>0</v>
          </cell>
          <cell r="CS816">
            <v>0</v>
          </cell>
          <cell r="CU816">
            <v>0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H816">
            <v>0</v>
          </cell>
          <cell r="DL816">
            <v>0</v>
          </cell>
          <cell r="DM816">
            <v>0</v>
          </cell>
          <cell r="DO816">
            <v>0</v>
          </cell>
          <cell r="DQ816">
            <v>0</v>
          </cell>
          <cell r="DW816">
            <v>0</v>
          </cell>
          <cell r="DX816">
            <v>0</v>
          </cell>
          <cell r="DY816">
            <v>0</v>
          </cell>
          <cell r="DZ816">
            <v>0</v>
          </cell>
          <cell r="EA816">
            <v>0</v>
          </cell>
          <cell r="EB816">
            <v>0</v>
          </cell>
          <cell r="EC816">
            <v>0</v>
          </cell>
        </row>
        <row r="817"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R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E817">
            <v>0</v>
          </cell>
          <cell r="AF817">
            <v>0</v>
          </cell>
          <cell r="AG817">
            <v>2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BA817">
            <v>0</v>
          </cell>
          <cell r="BB817">
            <v>0</v>
          </cell>
          <cell r="BH817">
            <v>0</v>
          </cell>
          <cell r="BI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U817">
            <v>0</v>
          </cell>
          <cell r="BV817">
            <v>0</v>
          </cell>
          <cell r="BW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N817">
            <v>0</v>
          </cell>
          <cell r="CO817">
            <v>0</v>
          </cell>
          <cell r="CP817">
            <v>0</v>
          </cell>
          <cell r="CS817">
            <v>0</v>
          </cell>
          <cell r="CU817">
            <v>0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H817">
            <v>0</v>
          </cell>
          <cell r="DL817">
            <v>0</v>
          </cell>
          <cell r="DM817">
            <v>0</v>
          </cell>
          <cell r="DO817">
            <v>0</v>
          </cell>
          <cell r="DQ817">
            <v>0</v>
          </cell>
          <cell r="DW817">
            <v>0</v>
          </cell>
          <cell r="DX817">
            <v>0</v>
          </cell>
          <cell r="DY817">
            <v>0</v>
          </cell>
          <cell r="DZ817">
            <v>0</v>
          </cell>
          <cell r="EA817">
            <v>0</v>
          </cell>
          <cell r="EB817">
            <v>0</v>
          </cell>
          <cell r="EC817">
            <v>0</v>
          </cell>
        </row>
        <row r="818"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R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U818">
            <v>2</v>
          </cell>
          <cell r="AV818">
            <v>2</v>
          </cell>
          <cell r="AW818">
            <v>0</v>
          </cell>
          <cell r="AX818">
            <v>0</v>
          </cell>
          <cell r="AY818">
            <v>0</v>
          </cell>
          <cell r="BA818">
            <v>0</v>
          </cell>
          <cell r="BB818">
            <v>0</v>
          </cell>
          <cell r="BH818">
            <v>0</v>
          </cell>
          <cell r="BI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U818">
            <v>0</v>
          </cell>
          <cell r="BV818">
            <v>0</v>
          </cell>
          <cell r="BW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N818">
            <v>0</v>
          </cell>
          <cell r="CO818">
            <v>0</v>
          </cell>
          <cell r="CP818">
            <v>0</v>
          </cell>
          <cell r="CS818">
            <v>0</v>
          </cell>
          <cell r="CU818">
            <v>0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H818">
            <v>0</v>
          </cell>
          <cell r="DL818">
            <v>0</v>
          </cell>
          <cell r="DM818">
            <v>0</v>
          </cell>
          <cell r="DO818">
            <v>0</v>
          </cell>
          <cell r="DQ818">
            <v>0</v>
          </cell>
          <cell r="DW818">
            <v>0</v>
          </cell>
          <cell r="DX818">
            <v>0</v>
          </cell>
          <cell r="DY818">
            <v>0</v>
          </cell>
          <cell r="DZ818">
            <v>0</v>
          </cell>
          <cell r="EA818">
            <v>0</v>
          </cell>
          <cell r="EB818">
            <v>0</v>
          </cell>
          <cell r="EC818">
            <v>0</v>
          </cell>
        </row>
        <row r="819"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R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BA819">
            <v>0</v>
          </cell>
          <cell r="BB819">
            <v>0</v>
          </cell>
          <cell r="BH819">
            <v>0</v>
          </cell>
          <cell r="BI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2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U819">
            <v>0</v>
          </cell>
          <cell r="BV819">
            <v>0</v>
          </cell>
          <cell r="BW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N819">
            <v>0</v>
          </cell>
          <cell r="CO819">
            <v>0</v>
          </cell>
          <cell r="CP819">
            <v>0</v>
          </cell>
          <cell r="CS819">
            <v>0</v>
          </cell>
          <cell r="CU819">
            <v>0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H819">
            <v>0</v>
          </cell>
          <cell r="DL819">
            <v>0</v>
          </cell>
          <cell r="DM819">
            <v>0</v>
          </cell>
          <cell r="DO819">
            <v>0</v>
          </cell>
          <cell r="DQ819">
            <v>0</v>
          </cell>
          <cell r="DW819">
            <v>0</v>
          </cell>
          <cell r="DX819">
            <v>0</v>
          </cell>
          <cell r="DY819">
            <v>0</v>
          </cell>
          <cell r="DZ819">
            <v>0</v>
          </cell>
          <cell r="EA819">
            <v>0</v>
          </cell>
          <cell r="EB819">
            <v>0</v>
          </cell>
          <cell r="EC819">
            <v>0</v>
          </cell>
        </row>
        <row r="820"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R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BA820">
            <v>0</v>
          </cell>
          <cell r="BB820">
            <v>0</v>
          </cell>
          <cell r="BH820">
            <v>0</v>
          </cell>
          <cell r="BI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U820">
            <v>0</v>
          </cell>
          <cell r="BV820">
            <v>0</v>
          </cell>
          <cell r="BW820">
            <v>2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2</v>
          </cell>
          <cell r="CE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N820">
            <v>0</v>
          </cell>
          <cell r="CO820">
            <v>0</v>
          </cell>
          <cell r="CP820">
            <v>0</v>
          </cell>
          <cell r="CS820">
            <v>0</v>
          </cell>
          <cell r="CU820">
            <v>0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H820">
            <v>0</v>
          </cell>
          <cell r="DL820">
            <v>0</v>
          </cell>
          <cell r="DM820">
            <v>0</v>
          </cell>
          <cell r="DO820">
            <v>0</v>
          </cell>
          <cell r="DQ820">
            <v>0</v>
          </cell>
          <cell r="DW820">
            <v>0</v>
          </cell>
          <cell r="DX820">
            <v>0</v>
          </cell>
          <cell r="DY820">
            <v>0</v>
          </cell>
          <cell r="DZ820">
            <v>0</v>
          </cell>
          <cell r="EA820">
            <v>0</v>
          </cell>
          <cell r="EB820">
            <v>0</v>
          </cell>
          <cell r="EC820">
            <v>0</v>
          </cell>
        </row>
        <row r="821"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R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BA821">
            <v>0</v>
          </cell>
          <cell r="BB821">
            <v>0</v>
          </cell>
          <cell r="BH821">
            <v>0</v>
          </cell>
          <cell r="BI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U821">
            <v>0</v>
          </cell>
          <cell r="BV821">
            <v>0</v>
          </cell>
          <cell r="BW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N821">
            <v>0</v>
          </cell>
          <cell r="CO821">
            <v>0</v>
          </cell>
          <cell r="CP821">
            <v>0</v>
          </cell>
          <cell r="CS821">
            <v>0</v>
          </cell>
          <cell r="CU821">
            <v>0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B821">
            <v>21</v>
          </cell>
          <cell r="DC821">
            <v>0</v>
          </cell>
          <cell r="DD821">
            <v>28</v>
          </cell>
          <cell r="DE821">
            <v>0</v>
          </cell>
          <cell r="DF821">
            <v>0</v>
          </cell>
          <cell r="DG821">
            <v>0</v>
          </cell>
          <cell r="DH821">
            <v>0</v>
          </cell>
          <cell r="DL821">
            <v>0</v>
          </cell>
          <cell r="DM821">
            <v>0</v>
          </cell>
          <cell r="DO821">
            <v>0</v>
          </cell>
          <cell r="DQ821">
            <v>0</v>
          </cell>
          <cell r="DW821">
            <v>0</v>
          </cell>
          <cell r="DX821">
            <v>0</v>
          </cell>
          <cell r="DY821">
            <v>0</v>
          </cell>
          <cell r="DZ821">
            <v>0</v>
          </cell>
          <cell r="EA821">
            <v>0</v>
          </cell>
          <cell r="EB821">
            <v>0</v>
          </cell>
          <cell r="EC821">
            <v>0</v>
          </cell>
        </row>
        <row r="822"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R822">
            <v>0</v>
          </cell>
          <cell r="V822">
            <v>0</v>
          </cell>
          <cell r="W822">
            <v>2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BA822">
            <v>0</v>
          </cell>
          <cell r="BB822">
            <v>0</v>
          </cell>
          <cell r="BH822">
            <v>0</v>
          </cell>
          <cell r="BI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U822">
            <v>0</v>
          </cell>
          <cell r="BV822">
            <v>0</v>
          </cell>
          <cell r="BW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H822">
            <v>0</v>
          </cell>
          <cell r="CI822">
            <v>3</v>
          </cell>
          <cell r="CJ822">
            <v>3</v>
          </cell>
          <cell r="CK822">
            <v>2</v>
          </cell>
          <cell r="CN822">
            <v>2</v>
          </cell>
          <cell r="CO822">
            <v>0</v>
          </cell>
          <cell r="CP822">
            <v>0</v>
          </cell>
          <cell r="CS822">
            <v>0</v>
          </cell>
          <cell r="CU822">
            <v>0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2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H822">
            <v>1</v>
          </cell>
          <cell r="DL822">
            <v>0</v>
          </cell>
          <cell r="DM822">
            <v>0</v>
          </cell>
          <cell r="DO822">
            <v>0</v>
          </cell>
          <cell r="DQ822">
            <v>1</v>
          </cell>
          <cell r="DW822">
            <v>2</v>
          </cell>
          <cell r="DX822">
            <v>0</v>
          </cell>
          <cell r="DY822">
            <v>0</v>
          </cell>
          <cell r="DZ822">
            <v>0</v>
          </cell>
          <cell r="EA822">
            <v>0</v>
          </cell>
          <cell r="EB822">
            <v>0</v>
          </cell>
          <cell r="EC822">
            <v>0</v>
          </cell>
        </row>
        <row r="823"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R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BA823">
            <v>0</v>
          </cell>
          <cell r="BB823">
            <v>0</v>
          </cell>
          <cell r="BH823">
            <v>0</v>
          </cell>
          <cell r="BI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U823">
            <v>0</v>
          </cell>
          <cell r="BV823">
            <v>0</v>
          </cell>
          <cell r="BW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N823">
            <v>0</v>
          </cell>
          <cell r="CO823">
            <v>0</v>
          </cell>
          <cell r="CP823">
            <v>0</v>
          </cell>
          <cell r="CS823">
            <v>0</v>
          </cell>
          <cell r="CU823">
            <v>0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H823">
            <v>0</v>
          </cell>
          <cell r="DL823">
            <v>0</v>
          </cell>
          <cell r="DM823">
            <v>0</v>
          </cell>
          <cell r="DO823">
            <v>0</v>
          </cell>
          <cell r="DQ823">
            <v>0</v>
          </cell>
          <cell r="DW823">
            <v>0</v>
          </cell>
          <cell r="DX823">
            <v>0</v>
          </cell>
          <cell r="DY823">
            <v>0</v>
          </cell>
          <cell r="DZ823">
            <v>0</v>
          </cell>
          <cell r="EA823">
            <v>0</v>
          </cell>
          <cell r="EB823">
            <v>0</v>
          </cell>
          <cell r="EC823">
            <v>0</v>
          </cell>
        </row>
        <row r="824"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R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BA824">
            <v>0</v>
          </cell>
          <cell r="BB824">
            <v>0</v>
          </cell>
          <cell r="BH824">
            <v>0</v>
          </cell>
          <cell r="BI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U824">
            <v>0</v>
          </cell>
          <cell r="BV824">
            <v>0</v>
          </cell>
          <cell r="BW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N824">
            <v>0</v>
          </cell>
          <cell r="CO824">
            <v>0</v>
          </cell>
          <cell r="CP824">
            <v>0</v>
          </cell>
          <cell r="CS824">
            <v>0</v>
          </cell>
          <cell r="CU824">
            <v>0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H824">
            <v>0</v>
          </cell>
          <cell r="DL824">
            <v>0</v>
          </cell>
          <cell r="DM824">
            <v>0</v>
          </cell>
          <cell r="DO824">
            <v>0</v>
          </cell>
          <cell r="DQ824">
            <v>0</v>
          </cell>
          <cell r="DW824">
            <v>0</v>
          </cell>
          <cell r="DX824">
            <v>0</v>
          </cell>
          <cell r="DY824">
            <v>0</v>
          </cell>
          <cell r="DZ824">
            <v>0</v>
          </cell>
          <cell r="EA824">
            <v>0</v>
          </cell>
          <cell r="EB824">
            <v>0</v>
          </cell>
          <cell r="EC824">
            <v>0</v>
          </cell>
        </row>
        <row r="825"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R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BA825">
            <v>0</v>
          </cell>
          <cell r="BB825">
            <v>0</v>
          </cell>
          <cell r="BH825">
            <v>0</v>
          </cell>
          <cell r="BI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U825">
            <v>0</v>
          </cell>
          <cell r="BV825">
            <v>0</v>
          </cell>
          <cell r="BW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H825">
            <v>0</v>
          </cell>
          <cell r="CI825">
            <v>1</v>
          </cell>
          <cell r="CJ825">
            <v>1</v>
          </cell>
          <cell r="CK825">
            <v>0</v>
          </cell>
          <cell r="CN825">
            <v>0</v>
          </cell>
          <cell r="CO825">
            <v>0</v>
          </cell>
          <cell r="CP825">
            <v>0</v>
          </cell>
          <cell r="CS825">
            <v>0</v>
          </cell>
          <cell r="CU825">
            <v>0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H825">
            <v>0</v>
          </cell>
          <cell r="DL825">
            <v>0</v>
          </cell>
          <cell r="DM825">
            <v>0</v>
          </cell>
          <cell r="DO825">
            <v>0</v>
          </cell>
          <cell r="DQ825">
            <v>0</v>
          </cell>
          <cell r="DW825">
            <v>0</v>
          </cell>
          <cell r="DX825">
            <v>0</v>
          </cell>
          <cell r="DY825">
            <v>0</v>
          </cell>
          <cell r="DZ825">
            <v>0</v>
          </cell>
          <cell r="EA825">
            <v>0</v>
          </cell>
          <cell r="EB825">
            <v>0</v>
          </cell>
          <cell r="EC825">
            <v>0</v>
          </cell>
        </row>
        <row r="826"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R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BA826">
            <v>0</v>
          </cell>
          <cell r="BB826">
            <v>0</v>
          </cell>
          <cell r="BH826">
            <v>0</v>
          </cell>
          <cell r="BI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</v>
          </cell>
          <cell r="BR826">
            <v>0</v>
          </cell>
          <cell r="BS826">
            <v>1</v>
          </cell>
          <cell r="BU826">
            <v>0</v>
          </cell>
          <cell r="BV826">
            <v>0</v>
          </cell>
          <cell r="BW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N826">
            <v>0</v>
          </cell>
          <cell r="CO826">
            <v>0</v>
          </cell>
          <cell r="CP826">
            <v>0</v>
          </cell>
          <cell r="CS826">
            <v>0</v>
          </cell>
          <cell r="CU826">
            <v>0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H826">
            <v>0</v>
          </cell>
          <cell r="DL826">
            <v>0</v>
          </cell>
          <cell r="DM826">
            <v>0</v>
          </cell>
          <cell r="DO826">
            <v>0</v>
          </cell>
          <cell r="DQ826">
            <v>0</v>
          </cell>
          <cell r="DW826">
            <v>0</v>
          </cell>
          <cell r="DX826">
            <v>0</v>
          </cell>
          <cell r="DY826">
            <v>0</v>
          </cell>
          <cell r="DZ826">
            <v>0</v>
          </cell>
          <cell r="EA826">
            <v>0</v>
          </cell>
          <cell r="EB826">
            <v>0</v>
          </cell>
          <cell r="EC826">
            <v>0</v>
          </cell>
        </row>
        <row r="827"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R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U827">
            <v>0</v>
          </cell>
          <cell r="AV827">
            <v>1</v>
          </cell>
          <cell r="AW827">
            <v>0</v>
          </cell>
          <cell r="AX827">
            <v>0</v>
          </cell>
          <cell r="AY827">
            <v>0</v>
          </cell>
          <cell r="BA827">
            <v>0</v>
          </cell>
          <cell r="BB827">
            <v>0</v>
          </cell>
          <cell r="BH827">
            <v>0</v>
          </cell>
          <cell r="BI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U827">
            <v>0</v>
          </cell>
          <cell r="BV827">
            <v>0</v>
          </cell>
          <cell r="BW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N827">
            <v>0</v>
          </cell>
          <cell r="CO827">
            <v>0</v>
          </cell>
          <cell r="CP827">
            <v>0</v>
          </cell>
          <cell r="CS827">
            <v>0</v>
          </cell>
          <cell r="CU827">
            <v>0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H827">
            <v>0</v>
          </cell>
          <cell r="DL827">
            <v>0</v>
          </cell>
          <cell r="DM827">
            <v>0</v>
          </cell>
          <cell r="DO827">
            <v>0</v>
          </cell>
          <cell r="DQ827">
            <v>0</v>
          </cell>
          <cell r="DW827">
            <v>0</v>
          </cell>
          <cell r="DX827">
            <v>0</v>
          </cell>
          <cell r="DY827">
            <v>0</v>
          </cell>
          <cell r="DZ827">
            <v>0</v>
          </cell>
          <cell r="EA827">
            <v>0</v>
          </cell>
          <cell r="EB827">
            <v>0</v>
          </cell>
          <cell r="EC827">
            <v>0</v>
          </cell>
        </row>
        <row r="828"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R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BA828">
            <v>0</v>
          </cell>
          <cell r="BB828">
            <v>0</v>
          </cell>
          <cell r="BH828">
            <v>0</v>
          </cell>
          <cell r="BI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U828">
            <v>0</v>
          </cell>
          <cell r="BV828">
            <v>0</v>
          </cell>
          <cell r="BW828">
            <v>0</v>
          </cell>
          <cell r="BZ828">
            <v>0</v>
          </cell>
          <cell r="CA828">
            <v>0</v>
          </cell>
          <cell r="CB828">
            <v>1</v>
          </cell>
          <cell r="CC828">
            <v>0</v>
          </cell>
          <cell r="CD828">
            <v>0</v>
          </cell>
          <cell r="CE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N828">
            <v>0</v>
          </cell>
          <cell r="CO828">
            <v>0</v>
          </cell>
          <cell r="CP828">
            <v>0</v>
          </cell>
          <cell r="CS828">
            <v>0</v>
          </cell>
          <cell r="CU828">
            <v>1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2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H828">
            <v>0</v>
          </cell>
          <cell r="DL828">
            <v>0</v>
          </cell>
          <cell r="DM828">
            <v>0</v>
          </cell>
          <cell r="DO828">
            <v>0</v>
          </cell>
          <cell r="DQ828">
            <v>0</v>
          </cell>
          <cell r="DW828">
            <v>0</v>
          </cell>
          <cell r="DX828">
            <v>0</v>
          </cell>
          <cell r="DY828">
            <v>0</v>
          </cell>
          <cell r="DZ828">
            <v>0</v>
          </cell>
          <cell r="EA828">
            <v>0</v>
          </cell>
          <cell r="EB828">
            <v>0</v>
          </cell>
          <cell r="EC828">
            <v>0</v>
          </cell>
        </row>
        <row r="829"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R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BA829">
            <v>0</v>
          </cell>
          <cell r="BB829">
            <v>0</v>
          </cell>
          <cell r="BH829">
            <v>0</v>
          </cell>
          <cell r="BI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3</v>
          </cell>
          <cell r="BR829">
            <v>0</v>
          </cell>
          <cell r="BS829">
            <v>3</v>
          </cell>
          <cell r="BU829">
            <v>0</v>
          </cell>
          <cell r="BV829">
            <v>0</v>
          </cell>
          <cell r="BW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N829">
            <v>0</v>
          </cell>
          <cell r="CO829">
            <v>0</v>
          </cell>
          <cell r="CP829">
            <v>0</v>
          </cell>
          <cell r="CS829">
            <v>0</v>
          </cell>
          <cell r="CU829">
            <v>0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H829">
            <v>0</v>
          </cell>
          <cell r="DL829">
            <v>0</v>
          </cell>
          <cell r="DM829">
            <v>0</v>
          </cell>
          <cell r="DO829">
            <v>0</v>
          </cell>
          <cell r="DQ829">
            <v>0</v>
          </cell>
          <cell r="DW829">
            <v>0</v>
          </cell>
          <cell r="DX829">
            <v>0</v>
          </cell>
          <cell r="DY829">
            <v>0</v>
          </cell>
          <cell r="DZ829">
            <v>0</v>
          </cell>
          <cell r="EA829">
            <v>0</v>
          </cell>
          <cell r="EB829">
            <v>0</v>
          </cell>
          <cell r="EC829">
            <v>0</v>
          </cell>
        </row>
        <row r="830"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R830">
            <v>0</v>
          </cell>
          <cell r="V830">
            <v>0</v>
          </cell>
          <cell r="W830">
            <v>1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BA830">
            <v>0</v>
          </cell>
          <cell r="BB830">
            <v>0</v>
          </cell>
          <cell r="BH830">
            <v>0</v>
          </cell>
          <cell r="BI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U830">
            <v>0</v>
          </cell>
          <cell r="BV830">
            <v>0</v>
          </cell>
          <cell r="BW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N830">
            <v>0</v>
          </cell>
          <cell r="CO830">
            <v>0</v>
          </cell>
          <cell r="CP830">
            <v>0</v>
          </cell>
          <cell r="CS830">
            <v>0</v>
          </cell>
          <cell r="CU830">
            <v>0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H830">
            <v>0</v>
          </cell>
          <cell r="DL830">
            <v>0</v>
          </cell>
          <cell r="DM830">
            <v>0</v>
          </cell>
          <cell r="DO830">
            <v>0</v>
          </cell>
          <cell r="DQ830">
            <v>1</v>
          </cell>
          <cell r="DW830">
            <v>0</v>
          </cell>
          <cell r="DX830">
            <v>0</v>
          </cell>
          <cell r="DY830">
            <v>0</v>
          </cell>
          <cell r="DZ830">
            <v>0</v>
          </cell>
          <cell r="EA830">
            <v>0</v>
          </cell>
          <cell r="EB830">
            <v>0</v>
          </cell>
          <cell r="EC830">
            <v>0</v>
          </cell>
        </row>
        <row r="831">
          <cell r="D831">
            <v>0</v>
          </cell>
          <cell r="E831">
            <v>3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2</v>
          </cell>
          <cell r="R831">
            <v>0</v>
          </cell>
          <cell r="V831">
            <v>8</v>
          </cell>
          <cell r="W831">
            <v>0</v>
          </cell>
          <cell r="X831">
            <v>5</v>
          </cell>
          <cell r="Y831">
            <v>22</v>
          </cell>
          <cell r="Z831">
            <v>0</v>
          </cell>
          <cell r="AA831">
            <v>0</v>
          </cell>
          <cell r="AE831">
            <v>3</v>
          </cell>
          <cell r="AF831">
            <v>2</v>
          </cell>
          <cell r="AG831">
            <v>0</v>
          </cell>
          <cell r="AH831">
            <v>4</v>
          </cell>
          <cell r="AI831">
            <v>5</v>
          </cell>
          <cell r="AJ831">
            <v>1</v>
          </cell>
          <cell r="AK831">
            <v>6</v>
          </cell>
          <cell r="AL831">
            <v>3</v>
          </cell>
          <cell r="AN831">
            <v>6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U831">
            <v>0</v>
          </cell>
          <cell r="AV831">
            <v>0</v>
          </cell>
          <cell r="AW831">
            <v>1</v>
          </cell>
          <cell r="AX831">
            <v>26</v>
          </cell>
          <cell r="AY831">
            <v>0</v>
          </cell>
          <cell r="BA831">
            <v>0</v>
          </cell>
          <cell r="BB831">
            <v>0</v>
          </cell>
          <cell r="BH831">
            <v>0</v>
          </cell>
          <cell r="BI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8</v>
          </cell>
          <cell r="BQ831">
            <v>0</v>
          </cell>
          <cell r="BR831">
            <v>0</v>
          </cell>
          <cell r="BS831">
            <v>0</v>
          </cell>
          <cell r="BU831">
            <v>0</v>
          </cell>
          <cell r="BV831">
            <v>0</v>
          </cell>
          <cell r="BW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N831">
            <v>0</v>
          </cell>
          <cell r="CO831">
            <v>0</v>
          </cell>
          <cell r="CP831">
            <v>0</v>
          </cell>
          <cell r="CS831">
            <v>0</v>
          </cell>
          <cell r="CU831">
            <v>0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H831">
            <v>0</v>
          </cell>
          <cell r="DL831">
            <v>0</v>
          </cell>
          <cell r="DM831">
            <v>0</v>
          </cell>
          <cell r="DO831">
            <v>0</v>
          </cell>
          <cell r="DQ831">
            <v>0</v>
          </cell>
          <cell r="DW831">
            <v>0</v>
          </cell>
          <cell r="DX831">
            <v>0</v>
          </cell>
          <cell r="DY831">
            <v>0</v>
          </cell>
          <cell r="DZ831">
            <v>0</v>
          </cell>
          <cell r="EA831">
            <v>0</v>
          </cell>
          <cell r="EB831">
            <v>0</v>
          </cell>
          <cell r="EC831">
            <v>0</v>
          </cell>
        </row>
        <row r="832"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R832">
            <v>0</v>
          </cell>
          <cell r="V832">
            <v>0</v>
          </cell>
          <cell r="W832">
            <v>0</v>
          </cell>
          <cell r="X832">
            <v>1</v>
          </cell>
          <cell r="Y832">
            <v>0</v>
          </cell>
          <cell r="Z832">
            <v>0</v>
          </cell>
          <cell r="AA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BA832">
            <v>0</v>
          </cell>
          <cell r="BB832">
            <v>0</v>
          </cell>
          <cell r="BH832">
            <v>0</v>
          </cell>
          <cell r="BI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U832">
            <v>0</v>
          </cell>
          <cell r="BV832">
            <v>0</v>
          </cell>
          <cell r="BW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N832">
            <v>0</v>
          </cell>
          <cell r="CO832">
            <v>0</v>
          </cell>
          <cell r="CP832">
            <v>0</v>
          </cell>
          <cell r="CS832">
            <v>0</v>
          </cell>
          <cell r="CU832">
            <v>0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H832">
            <v>0</v>
          </cell>
          <cell r="DL832">
            <v>0</v>
          </cell>
          <cell r="DM832">
            <v>0</v>
          </cell>
          <cell r="DO832">
            <v>0</v>
          </cell>
          <cell r="DQ832">
            <v>0</v>
          </cell>
          <cell r="DW832">
            <v>0</v>
          </cell>
          <cell r="DX832">
            <v>0</v>
          </cell>
          <cell r="DY832">
            <v>0</v>
          </cell>
          <cell r="DZ832">
            <v>0</v>
          </cell>
          <cell r="EA832">
            <v>0</v>
          </cell>
          <cell r="EB832">
            <v>0</v>
          </cell>
          <cell r="EC832">
            <v>0</v>
          </cell>
        </row>
        <row r="833">
          <cell r="D833">
            <v>2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R833">
            <v>0</v>
          </cell>
          <cell r="V833">
            <v>1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E833">
            <v>3</v>
          </cell>
          <cell r="AF833">
            <v>3</v>
          </cell>
          <cell r="AG833">
            <v>0</v>
          </cell>
          <cell r="AH833">
            <v>0</v>
          </cell>
          <cell r="AI833">
            <v>16</v>
          </cell>
          <cell r="AJ833">
            <v>0</v>
          </cell>
          <cell r="AK833">
            <v>0</v>
          </cell>
          <cell r="AL833">
            <v>0</v>
          </cell>
          <cell r="AN833">
            <v>1</v>
          </cell>
          <cell r="AO833">
            <v>1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BA833">
            <v>0</v>
          </cell>
          <cell r="BB833">
            <v>0</v>
          </cell>
          <cell r="BH833">
            <v>0</v>
          </cell>
          <cell r="BI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U833">
            <v>0</v>
          </cell>
          <cell r="BV833">
            <v>0</v>
          </cell>
          <cell r="BW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N833">
            <v>0</v>
          </cell>
          <cell r="CO833">
            <v>0</v>
          </cell>
          <cell r="CP833">
            <v>0</v>
          </cell>
          <cell r="CS833">
            <v>0</v>
          </cell>
          <cell r="CU833">
            <v>0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H833">
            <v>0</v>
          </cell>
          <cell r="DL833">
            <v>0</v>
          </cell>
          <cell r="DM833">
            <v>0</v>
          </cell>
          <cell r="DO833">
            <v>0</v>
          </cell>
          <cell r="DQ833">
            <v>0</v>
          </cell>
          <cell r="DW833">
            <v>0</v>
          </cell>
          <cell r="DX833">
            <v>0</v>
          </cell>
          <cell r="DY833">
            <v>0</v>
          </cell>
          <cell r="DZ833">
            <v>0</v>
          </cell>
          <cell r="EA833">
            <v>0</v>
          </cell>
          <cell r="EB833">
            <v>0</v>
          </cell>
          <cell r="EC833">
            <v>0</v>
          </cell>
        </row>
        <row r="834"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R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E834">
            <v>1</v>
          </cell>
          <cell r="AF834">
            <v>1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BA834">
            <v>0</v>
          </cell>
          <cell r="BB834">
            <v>0</v>
          </cell>
          <cell r="BH834">
            <v>0</v>
          </cell>
          <cell r="BI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U834">
            <v>0</v>
          </cell>
          <cell r="BV834">
            <v>0</v>
          </cell>
          <cell r="BW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N834">
            <v>0</v>
          </cell>
          <cell r="CO834">
            <v>0</v>
          </cell>
          <cell r="CP834">
            <v>0</v>
          </cell>
          <cell r="CS834">
            <v>0</v>
          </cell>
          <cell r="CU834">
            <v>0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H834">
            <v>0</v>
          </cell>
          <cell r="DL834">
            <v>0</v>
          </cell>
          <cell r="DM834">
            <v>0</v>
          </cell>
          <cell r="DO834">
            <v>0</v>
          </cell>
          <cell r="DQ834">
            <v>0</v>
          </cell>
          <cell r="DW834">
            <v>0</v>
          </cell>
          <cell r="DX834">
            <v>0</v>
          </cell>
          <cell r="DY834">
            <v>0</v>
          </cell>
          <cell r="DZ834">
            <v>0</v>
          </cell>
          <cell r="EA834">
            <v>0</v>
          </cell>
          <cell r="EB834">
            <v>0</v>
          </cell>
          <cell r="EC834">
            <v>0</v>
          </cell>
        </row>
        <row r="835"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R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N835">
            <v>0</v>
          </cell>
          <cell r="AO835">
            <v>0</v>
          </cell>
          <cell r="AP835">
            <v>16</v>
          </cell>
          <cell r="AQ835">
            <v>0</v>
          </cell>
          <cell r="AR835">
            <v>0</v>
          </cell>
          <cell r="AS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BA835">
            <v>0</v>
          </cell>
          <cell r="BB835">
            <v>0</v>
          </cell>
          <cell r="BH835">
            <v>0</v>
          </cell>
          <cell r="BI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4</v>
          </cell>
          <cell r="BQ835">
            <v>0</v>
          </cell>
          <cell r="BR835">
            <v>0</v>
          </cell>
          <cell r="BS835">
            <v>0</v>
          </cell>
          <cell r="BU835">
            <v>0</v>
          </cell>
          <cell r="BV835">
            <v>0</v>
          </cell>
          <cell r="BW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N835">
            <v>0</v>
          </cell>
          <cell r="CO835">
            <v>0</v>
          </cell>
          <cell r="CP835">
            <v>0</v>
          </cell>
          <cell r="CS835">
            <v>0</v>
          </cell>
          <cell r="CU835">
            <v>0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H835">
            <v>0</v>
          </cell>
          <cell r="DL835">
            <v>0</v>
          </cell>
          <cell r="DM835">
            <v>0</v>
          </cell>
          <cell r="DO835">
            <v>0</v>
          </cell>
          <cell r="DQ835">
            <v>0</v>
          </cell>
          <cell r="DW835">
            <v>0</v>
          </cell>
          <cell r="DX835">
            <v>0</v>
          </cell>
          <cell r="DY835">
            <v>0</v>
          </cell>
          <cell r="DZ835">
            <v>0</v>
          </cell>
          <cell r="EA835">
            <v>0</v>
          </cell>
          <cell r="EB835">
            <v>0</v>
          </cell>
          <cell r="EC835">
            <v>0</v>
          </cell>
        </row>
        <row r="836">
          <cell r="D836">
            <v>1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K836">
            <v>0</v>
          </cell>
          <cell r="L836">
            <v>0</v>
          </cell>
          <cell r="M836">
            <v>1</v>
          </cell>
          <cell r="N836">
            <v>0</v>
          </cell>
          <cell r="R836">
            <v>0</v>
          </cell>
          <cell r="V836">
            <v>2</v>
          </cell>
          <cell r="W836">
            <v>0</v>
          </cell>
          <cell r="X836">
            <v>5</v>
          </cell>
          <cell r="Y836">
            <v>4</v>
          </cell>
          <cell r="Z836">
            <v>0</v>
          </cell>
          <cell r="AA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1</v>
          </cell>
          <cell r="AI836">
            <v>0</v>
          </cell>
          <cell r="AJ836">
            <v>4</v>
          </cell>
          <cell r="AK836">
            <v>0</v>
          </cell>
          <cell r="AL836">
            <v>0</v>
          </cell>
          <cell r="AN836">
            <v>1</v>
          </cell>
          <cell r="AO836">
            <v>1</v>
          </cell>
          <cell r="AP836">
            <v>2</v>
          </cell>
          <cell r="AQ836">
            <v>0</v>
          </cell>
          <cell r="AR836">
            <v>0</v>
          </cell>
          <cell r="AS836">
            <v>0</v>
          </cell>
          <cell r="AU836">
            <v>0</v>
          </cell>
          <cell r="AV836">
            <v>0</v>
          </cell>
          <cell r="AW836">
            <v>1</v>
          </cell>
          <cell r="AX836">
            <v>6</v>
          </cell>
          <cell r="AY836">
            <v>1</v>
          </cell>
          <cell r="BA836">
            <v>0</v>
          </cell>
          <cell r="BB836">
            <v>0</v>
          </cell>
          <cell r="BH836">
            <v>0</v>
          </cell>
          <cell r="BI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U836">
            <v>0</v>
          </cell>
          <cell r="BV836">
            <v>0</v>
          </cell>
          <cell r="BW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N836">
            <v>0</v>
          </cell>
          <cell r="CO836">
            <v>0</v>
          </cell>
          <cell r="CP836">
            <v>0</v>
          </cell>
          <cell r="CS836">
            <v>0</v>
          </cell>
          <cell r="CU836">
            <v>0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H836">
            <v>0</v>
          </cell>
          <cell r="DL836">
            <v>0</v>
          </cell>
          <cell r="DM836">
            <v>0</v>
          </cell>
          <cell r="DO836">
            <v>0</v>
          </cell>
          <cell r="DQ836">
            <v>0</v>
          </cell>
          <cell r="DW836">
            <v>0</v>
          </cell>
          <cell r="DX836">
            <v>0</v>
          </cell>
          <cell r="DY836">
            <v>0</v>
          </cell>
          <cell r="DZ836">
            <v>0</v>
          </cell>
          <cell r="EA836">
            <v>0</v>
          </cell>
          <cell r="EB836">
            <v>0</v>
          </cell>
          <cell r="EC836">
            <v>0</v>
          </cell>
        </row>
        <row r="837"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R837">
            <v>0</v>
          </cell>
          <cell r="V837">
            <v>1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BA837">
            <v>0</v>
          </cell>
          <cell r="BB837">
            <v>0</v>
          </cell>
          <cell r="BH837">
            <v>0</v>
          </cell>
          <cell r="BI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U837">
            <v>0</v>
          </cell>
          <cell r="BV837">
            <v>0</v>
          </cell>
          <cell r="BW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N837">
            <v>0</v>
          </cell>
          <cell r="CO837">
            <v>0</v>
          </cell>
          <cell r="CP837">
            <v>0</v>
          </cell>
          <cell r="CS837">
            <v>0</v>
          </cell>
          <cell r="CU837">
            <v>0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H837">
            <v>0</v>
          </cell>
          <cell r="DL837">
            <v>0</v>
          </cell>
          <cell r="DM837">
            <v>0</v>
          </cell>
          <cell r="DO837">
            <v>0</v>
          </cell>
          <cell r="DQ837">
            <v>0</v>
          </cell>
          <cell r="DW837">
            <v>0</v>
          </cell>
          <cell r="DX837">
            <v>0</v>
          </cell>
          <cell r="DY837">
            <v>0</v>
          </cell>
          <cell r="DZ837">
            <v>0</v>
          </cell>
          <cell r="EA837">
            <v>0</v>
          </cell>
          <cell r="EB837">
            <v>0</v>
          </cell>
          <cell r="EC837">
            <v>0</v>
          </cell>
        </row>
        <row r="838"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R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E838">
            <v>1</v>
          </cell>
          <cell r="AF838">
            <v>1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BA838">
            <v>0</v>
          </cell>
          <cell r="BB838">
            <v>0</v>
          </cell>
          <cell r="BH838">
            <v>0</v>
          </cell>
          <cell r="BI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U838">
            <v>0</v>
          </cell>
          <cell r="BV838">
            <v>0</v>
          </cell>
          <cell r="BW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N838">
            <v>0</v>
          </cell>
          <cell r="CO838">
            <v>0</v>
          </cell>
          <cell r="CP838">
            <v>0</v>
          </cell>
          <cell r="CS838">
            <v>0</v>
          </cell>
          <cell r="CU838">
            <v>0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H838">
            <v>0</v>
          </cell>
          <cell r="DL838">
            <v>0</v>
          </cell>
          <cell r="DM838">
            <v>0</v>
          </cell>
          <cell r="DO838">
            <v>0</v>
          </cell>
          <cell r="DQ838">
            <v>0</v>
          </cell>
          <cell r="DW838">
            <v>0</v>
          </cell>
          <cell r="DX838">
            <v>0</v>
          </cell>
          <cell r="DY838">
            <v>0</v>
          </cell>
          <cell r="DZ838">
            <v>0</v>
          </cell>
          <cell r="EA838">
            <v>0</v>
          </cell>
          <cell r="EB838">
            <v>0</v>
          </cell>
          <cell r="EC838">
            <v>0</v>
          </cell>
        </row>
        <row r="839"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R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E839">
            <v>2</v>
          </cell>
          <cell r="AF839">
            <v>2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N839">
            <v>0</v>
          </cell>
          <cell r="AO839">
            <v>0</v>
          </cell>
          <cell r="AP839">
            <v>6</v>
          </cell>
          <cell r="AQ839">
            <v>0</v>
          </cell>
          <cell r="AR839">
            <v>0</v>
          </cell>
          <cell r="AS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6</v>
          </cell>
          <cell r="AY839">
            <v>0</v>
          </cell>
          <cell r="BA839">
            <v>0</v>
          </cell>
          <cell r="BB839">
            <v>0</v>
          </cell>
          <cell r="BH839">
            <v>0</v>
          </cell>
          <cell r="BI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U839">
            <v>0</v>
          </cell>
          <cell r="BV839">
            <v>0</v>
          </cell>
          <cell r="BW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N839">
            <v>0</v>
          </cell>
          <cell r="CO839">
            <v>0</v>
          </cell>
          <cell r="CP839">
            <v>0</v>
          </cell>
          <cell r="CS839">
            <v>0</v>
          </cell>
          <cell r="CU839">
            <v>0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H839">
            <v>0</v>
          </cell>
          <cell r="DL839">
            <v>0</v>
          </cell>
          <cell r="DM839">
            <v>0</v>
          </cell>
          <cell r="DO839">
            <v>0</v>
          </cell>
          <cell r="DQ839">
            <v>0</v>
          </cell>
          <cell r="DW839">
            <v>0</v>
          </cell>
          <cell r="DX839">
            <v>0</v>
          </cell>
          <cell r="DY839">
            <v>0</v>
          </cell>
          <cell r="DZ839">
            <v>0</v>
          </cell>
          <cell r="EA839">
            <v>0</v>
          </cell>
          <cell r="EB839">
            <v>0</v>
          </cell>
          <cell r="EC839">
            <v>0</v>
          </cell>
        </row>
        <row r="840"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16</v>
          </cell>
          <cell r="R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E840">
            <v>1</v>
          </cell>
          <cell r="AF840">
            <v>1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N840">
            <v>0</v>
          </cell>
          <cell r="AO840">
            <v>0</v>
          </cell>
          <cell r="AP840">
            <v>8</v>
          </cell>
          <cell r="AQ840">
            <v>0</v>
          </cell>
          <cell r="AR840">
            <v>0</v>
          </cell>
          <cell r="AS840">
            <v>0</v>
          </cell>
          <cell r="AU840">
            <v>0</v>
          </cell>
          <cell r="AV840">
            <v>0</v>
          </cell>
          <cell r="AW840">
            <v>15</v>
          </cell>
          <cell r="AX840">
            <v>0</v>
          </cell>
          <cell r="AY840">
            <v>0</v>
          </cell>
          <cell r="BA840">
            <v>0</v>
          </cell>
          <cell r="BB840">
            <v>0</v>
          </cell>
          <cell r="BH840">
            <v>0</v>
          </cell>
          <cell r="BI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U840">
            <v>0</v>
          </cell>
          <cell r="BV840">
            <v>0</v>
          </cell>
          <cell r="BW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N840">
            <v>0</v>
          </cell>
          <cell r="CO840">
            <v>0</v>
          </cell>
          <cell r="CP840">
            <v>0</v>
          </cell>
          <cell r="CS840">
            <v>0</v>
          </cell>
          <cell r="CU840">
            <v>0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H840">
            <v>0</v>
          </cell>
          <cell r="DL840">
            <v>0</v>
          </cell>
          <cell r="DM840">
            <v>0</v>
          </cell>
          <cell r="DO840">
            <v>0</v>
          </cell>
          <cell r="DQ840">
            <v>0</v>
          </cell>
          <cell r="DW840">
            <v>0</v>
          </cell>
          <cell r="DX840">
            <v>0</v>
          </cell>
          <cell r="DY840">
            <v>0</v>
          </cell>
          <cell r="DZ840">
            <v>0</v>
          </cell>
          <cell r="EA840">
            <v>0</v>
          </cell>
          <cell r="EB840">
            <v>0</v>
          </cell>
          <cell r="EC840">
            <v>0</v>
          </cell>
        </row>
        <row r="841"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R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6</v>
          </cell>
          <cell r="AY841">
            <v>0</v>
          </cell>
          <cell r="BA841">
            <v>0</v>
          </cell>
          <cell r="BB841">
            <v>0</v>
          </cell>
          <cell r="BH841">
            <v>0</v>
          </cell>
          <cell r="BI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U841">
            <v>0</v>
          </cell>
          <cell r="BV841">
            <v>0</v>
          </cell>
          <cell r="BW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N841">
            <v>0</v>
          </cell>
          <cell r="CO841">
            <v>0</v>
          </cell>
          <cell r="CP841">
            <v>0</v>
          </cell>
          <cell r="CS841">
            <v>0</v>
          </cell>
          <cell r="CU841">
            <v>0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H841">
            <v>0</v>
          </cell>
          <cell r="DL841">
            <v>0</v>
          </cell>
          <cell r="DM841">
            <v>0</v>
          </cell>
          <cell r="DO841">
            <v>0</v>
          </cell>
          <cell r="DQ841">
            <v>0</v>
          </cell>
          <cell r="DW841">
            <v>0</v>
          </cell>
          <cell r="DX841">
            <v>0</v>
          </cell>
          <cell r="DY841">
            <v>0</v>
          </cell>
          <cell r="DZ841">
            <v>0</v>
          </cell>
          <cell r="EA841">
            <v>0</v>
          </cell>
          <cell r="EB841">
            <v>0</v>
          </cell>
          <cell r="EC841">
            <v>0</v>
          </cell>
        </row>
        <row r="842"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R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BA842">
            <v>0</v>
          </cell>
          <cell r="BB842">
            <v>0</v>
          </cell>
          <cell r="BH842">
            <v>0</v>
          </cell>
          <cell r="BI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U842">
            <v>0</v>
          </cell>
          <cell r="BV842">
            <v>0</v>
          </cell>
          <cell r="BW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N842">
            <v>0</v>
          </cell>
          <cell r="CO842">
            <v>0</v>
          </cell>
          <cell r="CP842">
            <v>0</v>
          </cell>
          <cell r="CS842">
            <v>0</v>
          </cell>
          <cell r="CU842">
            <v>0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H842">
            <v>0</v>
          </cell>
          <cell r="DL842">
            <v>0</v>
          </cell>
          <cell r="DM842">
            <v>0</v>
          </cell>
          <cell r="DO842">
            <v>0</v>
          </cell>
          <cell r="DQ842">
            <v>0</v>
          </cell>
          <cell r="DW842">
            <v>0</v>
          </cell>
          <cell r="DX842">
            <v>0</v>
          </cell>
          <cell r="DY842">
            <v>0</v>
          </cell>
          <cell r="DZ842">
            <v>0</v>
          </cell>
          <cell r="EA842">
            <v>0</v>
          </cell>
          <cell r="EB842">
            <v>0</v>
          </cell>
          <cell r="EC842">
            <v>0</v>
          </cell>
        </row>
        <row r="843"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R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1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BA843">
            <v>0</v>
          </cell>
          <cell r="BB843">
            <v>0</v>
          </cell>
          <cell r="BH843">
            <v>0</v>
          </cell>
          <cell r="BI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4</v>
          </cell>
          <cell r="BQ843">
            <v>0</v>
          </cell>
          <cell r="BR843">
            <v>0</v>
          </cell>
          <cell r="BS843">
            <v>0</v>
          </cell>
          <cell r="BU843">
            <v>0</v>
          </cell>
          <cell r="BV843">
            <v>0</v>
          </cell>
          <cell r="BW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N843">
            <v>0</v>
          </cell>
          <cell r="CO843">
            <v>0</v>
          </cell>
          <cell r="CP843">
            <v>0</v>
          </cell>
          <cell r="CS843">
            <v>0</v>
          </cell>
          <cell r="CU843">
            <v>0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H843">
            <v>0</v>
          </cell>
          <cell r="DL843">
            <v>0</v>
          </cell>
          <cell r="DM843">
            <v>0</v>
          </cell>
          <cell r="DO843">
            <v>0</v>
          </cell>
          <cell r="DQ843">
            <v>0</v>
          </cell>
          <cell r="DW843">
            <v>0</v>
          </cell>
          <cell r="DX843">
            <v>0</v>
          </cell>
          <cell r="DY843">
            <v>0</v>
          </cell>
          <cell r="DZ843">
            <v>0</v>
          </cell>
          <cell r="EA843">
            <v>0</v>
          </cell>
          <cell r="EB843">
            <v>0</v>
          </cell>
          <cell r="EC843">
            <v>0</v>
          </cell>
        </row>
        <row r="844"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7</v>
          </cell>
          <cell r="R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4</v>
          </cell>
          <cell r="AK844">
            <v>0</v>
          </cell>
          <cell r="AL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U844">
            <v>0</v>
          </cell>
          <cell r="AV844">
            <v>0</v>
          </cell>
          <cell r="AW844">
            <v>7</v>
          </cell>
          <cell r="AX844">
            <v>0</v>
          </cell>
          <cell r="AY844">
            <v>0</v>
          </cell>
          <cell r="BA844">
            <v>0</v>
          </cell>
          <cell r="BB844">
            <v>0</v>
          </cell>
          <cell r="BH844">
            <v>0</v>
          </cell>
          <cell r="BI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U844">
            <v>0</v>
          </cell>
          <cell r="BV844">
            <v>0</v>
          </cell>
          <cell r="BW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N844">
            <v>0</v>
          </cell>
          <cell r="CO844">
            <v>0</v>
          </cell>
          <cell r="CP844">
            <v>0</v>
          </cell>
          <cell r="CS844">
            <v>0</v>
          </cell>
          <cell r="CU844">
            <v>0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H844">
            <v>0</v>
          </cell>
          <cell r="DL844">
            <v>0</v>
          </cell>
          <cell r="DM844">
            <v>0</v>
          </cell>
          <cell r="DO844">
            <v>0</v>
          </cell>
          <cell r="DQ844">
            <v>0</v>
          </cell>
          <cell r="DW844">
            <v>0</v>
          </cell>
          <cell r="DX844">
            <v>0</v>
          </cell>
          <cell r="DY844">
            <v>0</v>
          </cell>
          <cell r="DZ844">
            <v>0</v>
          </cell>
          <cell r="EA844">
            <v>0</v>
          </cell>
          <cell r="EB844">
            <v>0</v>
          </cell>
          <cell r="EC844">
            <v>0</v>
          </cell>
        </row>
        <row r="845">
          <cell r="D845">
            <v>1</v>
          </cell>
          <cell r="E845">
            <v>1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K845">
            <v>0</v>
          </cell>
          <cell r="L845">
            <v>0</v>
          </cell>
          <cell r="M845">
            <v>1</v>
          </cell>
          <cell r="N845">
            <v>0</v>
          </cell>
          <cell r="R845">
            <v>0</v>
          </cell>
          <cell r="V845">
            <v>0</v>
          </cell>
          <cell r="W845">
            <v>0</v>
          </cell>
          <cell r="X845">
            <v>3</v>
          </cell>
          <cell r="Y845">
            <v>2</v>
          </cell>
          <cell r="Z845">
            <v>0</v>
          </cell>
          <cell r="AA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1</v>
          </cell>
          <cell r="AI845">
            <v>0</v>
          </cell>
          <cell r="AJ845">
            <v>0</v>
          </cell>
          <cell r="AK845">
            <v>1</v>
          </cell>
          <cell r="AL845">
            <v>0</v>
          </cell>
          <cell r="AN845">
            <v>1</v>
          </cell>
          <cell r="AO845">
            <v>1</v>
          </cell>
          <cell r="AP845">
            <v>9</v>
          </cell>
          <cell r="AQ845">
            <v>0</v>
          </cell>
          <cell r="AR845">
            <v>0</v>
          </cell>
          <cell r="AS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2</v>
          </cell>
          <cell r="BA845">
            <v>0</v>
          </cell>
          <cell r="BB845">
            <v>0</v>
          </cell>
          <cell r="BH845">
            <v>0</v>
          </cell>
          <cell r="BI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U845">
            <v>0</v>
          </cell>
          <cell r="BV845">
            <v>0</v>
          </cell>
          <cell r="BW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N845">
            <v>0</v>
          </cell>
          <cell r="CO845">
            <v>0</v>
          </cell>
          <cell r="CP845">
            <v>0</v>
          </cell>
          <cell r="CS845">
            <v>0</v>
          </cell>
          <cell r="CU845">
            <v>0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H845">
            <v>0</v>
          </cell>
          <cell r="DL845">
            <v>0</v>
          </cell>
          <cell r="DM845">
            <v>0</v>
          </cell>
          <cell r="DO845">
            <v>0</v>
          </cell>
          <cell r="DQ845">
            <v>0</v>
          </cell>
          <cell r="DW845">
            <v>0</v>
          </cell>
          <cell r="DX845">
            <v>0</v>
          </cell>
          <cell r="DY845">
            <v>0</v>
          </cell>
          <cell r="DZ845">
            <v>0</v>
          </cell>
          <cell r="EA845">
            <v>0</v>
          </cell>
          <cell r="EB845">
            <v>0</v>
          </cell>
          <cell r="EC845">
            <v>0</v>
          </cell>
        </row>
        <row r="846"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R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1</v>
          </cell>
          <cell r="Z846">
            <v>0</v>
          </cell>
          <cell r="AA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BA846">
            <v>0</v>
          </cell>
          <cell r="BB846">
            <v>0</v>
          </cell>
          <cell r="BH846">
            <v>0</v>
          </cell>
          <cell r="BI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U846">
            <v>0</v>
          </cell>
          <cell r="BV846">
            <v>0</v>
          </cell>
          <cell r="BW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N846">
            <v>0</v>
          </cell>
          <cell r="CO846">
            <v>0</v>
          </cell>
          <cell r="CP846">
            <v>0</v>
          </cell>
          <cell r="CS846">
            <v>0</v>
          </cell>
          <cell r="CU846">
            <v>0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B846">
            <v>0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H846">
            <v>0</v>
          </cell>
          <cell r="DL846">
            <v>0</v>
          </cell>
          <cell r="DM846">
            <v>0</v>
          </cell>
          <cell r="DO846">
            <v>0</v>
          </cell>
          <cell r="DQ846">
            <v>0</v>
          </cell>
          <cell r="DW846">
            <v>0</v>
          </cell>
          <cell r="DX846">
            <v>0</v>
          </cell>
          <cell r="DY846">
            <v>0</v>
          </cell>
          <cell r="DZ846">
            <v>0</v>
          </cell>
          <cell r="EA846">
            <v>0</v>
          </cell>
          <cell r="EB846">
            <v>0</v>
          </cell>
          <cell r="EC846">
            <v>0</v>
          </cell>
        </row>
        <row r="847"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R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BA847">
            <v>0</v>
          </cell>
          <cell r="BB847">
            <v>0</v>
          </cell>
          <cell r="BH847">
            <v>0</v>
          </cell>
          <cell r="BI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4</v>
          </cell>
          <cell r="BQ847">
            <v>0</v>
          </cell>
          <cell r="BR847">
            <v>0</v>
          </cell>
          <cell r="BS847">
            <v>0</v>
          </cell>
          <cell r="BU847">
            <v>0</v>
          </cell>
          <cell r="BV847">
            <v>0</v>
          </cell>
          <cell r="BW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N847">
            <v>0</v>
          </cell>
          <cell r="CO847">
            <v>0</v>
          </cell>
          <cell r="CP847">
            <v>0</v>
          </cell>
          <cell r="CS847">
            <v>0</v>
          </cell>
          <cell r="CU847">
            <v>0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B847">
            <v>0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H847">
            <v>0</v>
          </cell>
          <cell r="DL847">
            <v>0</v>
          </cell>
          <cell r="DM847">
            <v>0</v>
          </cell>
          <cell r="DO847">
            <v>0</v>
          </cell>
          <cell r="DQ847">
            <v>0</v>
          </cell>
          <cell r="DW847">
            <v>0</v>
          </cell>
          <cell r="DX847">
            <v>0</v>
          </cell>
          <cell r="DY847">
            <v>0</v>
          </cell>
          <cell r="DZ847">
            <v>0</v>
          </cell>
          <cell r="EA847">
            <v>0</v>
          </cell>
          <cell r="EB847">
            <v>0</v>
          </cell>
          <cell r="EC847">
            <v>0</v>
          </cell>
        </row>
        <row r="848"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R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BA848">
            <v>0</v>
          </cell>
          <cell r="BB848">
            <v>0</v>
          </cell>
          <cell r="BH848">
            <v>0</v>
          </cell>
          <cell r="BI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U848">
            <v>0</v>
          </cell>
          <cell r="BV848">
            <v>0</v>
          </cell>
          <cell r="BW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N848">
            <v>0</v>
          </cell>
          <cell r="CO848">
            <v>0</v>
          </cell>
          <cell r="CP848">
            <v>0</v>
          </cell>
          <cell r="CS848">
            <v>0</v>
          </cell>
          <cell r="CU848">
            <v>0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B848">
            <v>0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H848">
            <v>0</v>
          </cell>
          <cell r="DL848">
            <v>0</v>
          </cell>
          <cell r="DM848">
            <v>0</v>
          </cell>
          <cell r="DO848">
            <v>0</v>
          </cell>
          <cell r="DQ848">
            <v>0</v>
          </cell>
          <cell r="DW848">
            <v>0</v>
          </cell>
          <cell r="DX848">
            <v>0</v>
          </cell>
          <cell r="DY848">
            <v>0</v>
          </cell>
          <cell r="DZ848">
            <v>0</v>
          </cell>
          <cell r="EA848">
            <v>0</v>
          </cell>
          <cell r="EB848">
            <v>0</v>
          </cell>
          <cell r="EC848">
            <v>0</v>
          </cell>
        </row>
        <row r="849"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R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BA849">
            <v>0</v>
          </cell>
          <cell r="BB849">
            <v>0</v>
          </cell>
          <cell r="BH849">
            <v>0</v>
          </cell>
          <cell r="BI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U849">
            <v>0</v>
          </cell>
          <cell r="BV849">
            <v>0</v>
          </cell>
          <cell r="BW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N849">
            <v>0</v>
          </cell>
          <cell r="CO849">
            <v>0</v>
          </cell>
          <cell r="CP849">
            <v>0</v>
          </cell>
          <cell r="CS849">
            <v>0</v>
          </cell>
          <cell r="CU849">
            <v>0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B849">
            <v>0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H849">
            <v>0</v>
          </cell>
          <cell r="DL849">
            <v>0</v>
          </cell>
          <cell r="DM849">
            <v>0</v>
          </cell>
          <cell r="DO849">
            <v>0</v>
          </cell>
          <cell r="DQ849">
            <v>0</v>
          </cell>
          <cell r="DW849">
            <v>0</v>
          </cell>
          <cell r="DX849">
            <v>0</v>
          </cell>
          <cell r="DY849">
            <v>0</v>
          </cell>
          <cell r="DZ849">
            <v>0</v>
          </cell>
          <cell r="EA849">
            <v>0</v>
          </cell>
          <cell r="EB849">
            <v>0</v>
          </cell>
          <cell r="EC849">
            <v>0</v>
          </cell>
        </row>
        <row r="850"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R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22</v>
          </cell>
          <cell r="AY850">
            <v>0</v>
          </cell>
          <cell r="BA850">
            <v>0</v>
          </cell>
          <cell r="BB850">
            <v>0</v>
          </cell>
          <cell r="BH850">
            <v>0</v>
          </cell>
          <cell r="BI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U850">
            <v>0</v>
          </cell>
          <cell r="BV850">
            <v>0</v>
          </cell>
          <cell r="BW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N850">
            <v>0</v>
          </cell>
          <cell r="CO850">
            <v>0</v>
          </cell>
          <cell r="CP850">
            <v>0</v>
          </cell>
          <cell r="CS850">
            <v>0</v>
          </cell>
          <cell r="CU850">
            <v>0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B850">
            <v>0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H850">
            <v>0</v>
          </cell>
          <cell r="DL850">
            <v>0</v>
          </cell>
          <cell r="DM850">
            <v>0</v>
          </cell>
          <cell r="DO850">
            <v>0</v>
          </cell>
          <cell r="DQ850">
            <v>0</v>
          </cell>
          <cell r="DW850">
            <v>0</v>
          </cell>
          <cell r="DX850">
            <v>0</v>
          </cell>
          <cell r="DY850">
            <v>0</v>
          </cell>
          <cell r="DZ850">
            <v>0</v>
          </cell>
          <cell r="EA850">
            <v>0</v>
          </cell>
          <cell r="EB850">
            <v>0</v>
          </cell>
          <cell r="EC850">
            <v>0</v>
          </cell>
        </row>
        <row r="851">
          <cell r="D851">
            <v>3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R851">
            <v>0</v>
          </cell>
          <cell r="V851">
            <v>2</v>
          </cell>
          <cell r="W851">
            <v>0</v>
          </cell>
          <cell r="X851">
            <v>5</v>
          </cell>
          <cell r="Y851">
            <v>0</v>
          </cell>
          <cell r="Z851">
            <v>0</v>
          </cell>
          <cell r="AA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1</v>
          </cell>
          <cell r="AI851">
            <v>1</v>
          </cell>
          <cell r="AJ851">
            <v>0</v>
          </cell>
          <cell r="AK851">
            <v>0</v>
          </cell>
          <cell r="AL851">
            <v>0</v>
          </cell>
          <cell r="AN851">
            <v>0</v>
          </cell>
          <cell r="AO851">
            <v>0</v>
          </cell>
          <cell r="AP851">
            <v>1</v>
          </cell>
          <cell r="AQ851">
            <v>0</v>
          </cell>
          <cell r="AR851">
            <v>0</v>
          </cell>
          <cell r="AS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7</v>
          </cell>
          <cell r="BA851">
            <v>0</v>
          </cell>
          <cell r="BB851">
            <v>0</v>
          </cell>
          <cell r="BH851">
            <v>0</v>
          </cell>
          <cell r="BI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U851">
            <v>0</v>
          </cell>
          <cell r="BV851">
            <v>0</v>
          </cell>
          <cell r="BW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N851">
            <v>0</v>
          </cell>
          <cell r="CO851">
            <v>0</v>
          </cell>
          <cell r="CP851">
            <v>0</v>
          </cell>
          <cell r="CS851">
            <v>0</v>
          </cell>
          <cell r="CU851">
            <v>0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B851">
            <v>0</v>
          </cell>
          <cell r="DC851">
            <v>0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H851">
            <v>0</v>
          </cell>
          <cell r="DL851">
            <v>0</v>
          </cell>
          <cell r="DM851">
            <v>0</v>
          </cell>
          <cell r="DO851">
            <v>0</v>
          </cell>
          <cell r="DQ851">
            <v>0</v>
          </cell>
          <cell r="DW851">
            <v>0</v>
          </cell>
          <cell r="DX851">
            <v>0</v>
          </cell>
          <cell r="DY851">
            <v>0</v>
          </cell>
          <cell r="DZ851">
            <v>0</v>
          </cell>
          <cell r="EA851">
            <v>0</v>
          </cell>
          <cell r="EB851">
            <v>0</v>
          </cell>
          <cell r="EC851">
            <v>0</v>
          </cell>
        </row>
        <row r="852"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R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BA852">
            <v>0</v>
          </cell>
          <cell r="BB852">
            <v>0</v>
          </cell>
          <cell r="BH852">
            <v>0</v>
          </cell>
          <cell r="BI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U852">
            <v>0</v>
          </cell>
          <cell r="BV852">
            <v>0</v>
          </cell>
          <cell r="BW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N852">
            <v>0</v>
          </cell>
          <cell r="CO852">
            <v>0</v>
          </cell>
          <cell r="CP852">
            <v>0</v>
          </cell>
          <cell r="CS852">
            <v>0</v>
          </cell>
          <cell r="CU852">
            <v>0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B852">
            <v>0</v>
          </cell>
          <cell r="DC852">
            <v>0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H852">
            <v>0</v>
          </cell>
          <cell r="DL852">
            <v>0</v>
          </cell>
          <cell r="DM852">
            <v>0</v>
          </cell>
          <cell r="DO852">
            <v>0</v>
          </cell>
          <cell r="DQ852">
            <v>0</v>
          </cell>
          <cell r="DW852">
            <v>0</v>
          </cell>
          <cell r="DX852">
            <v>0</v>
          </cell>
          <cell r="DY852">
            <v>0</v>
          </cell>
          <cell r="DZ852">
            <v>0</v>
          </cell>
          <cell r="EA852">
            <v>0</v>
          </cell>
          <cell r="EB852">
            <v>0</v>
          </cell>
          <cell r="EC852">
            <v>0</v>
          </cell>
        </row>
        <row r="853"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R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1</v>
          </cell>
          <cell r="AA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BA853">
            <v>0</v>
          </cell>
          <cell r="BB853">
            <v>0</v>
          </cell>
          <cell r="BH853">
            <v>0</v>
          </cell>
          <cell r="BI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U853">
            <v>0</v>
          </cell>
          <cell r="BV853">
            <v>0</v>
          </cell>
          <cell r="BW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N853">
            <v>0</v>
          </cell>
          <cell r="CO853">
            <v>0</v>
          </cell>
          <cell r="CP853">
            <v>0</v>
          </cell>
          <cell r="CS853">
            <v>0</v>
          </cell>
          <cell r="CU853">
            <v>0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B853">
            <v>0</v>
          </cell>
          <cell r="DC853">
            <v>0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H853">
            <v>0</v>
          </cell>
          <cell r="DL853">
            <v>0</v>
          </cell>
          <cell r="DM853">
            <v>0</v>
          </cell>
          <cell r="DO853">
            <v>0</v>
          </cell>
          <cell r="DQ853">
            <v>0</v>
          </cell>
          <cell r="DW853">
            <v>0</v>
          </cell>
          <cell r="DX853">
            <v>0</v>
          </cell>
          <cell r="DY853">
            <v>0</v>
          </cell>
          <cell r="DZ853">
            <v>0</v>
          </cell>
          <cell r="EA853">
            <v>0</v>
          </cell>
          <cell r="EB853">
            <v>0</v>
          </cell>
          <cell r="EC853">
            <v>0</v>
          </cell>
        </row>
        <row r="854"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R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E854">
            <v>1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2</v>
          </cell>
          <cell r="AL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BA854">
            <v>0</v>
          </cell>
          <cell r="BB854">
            <v>0</v>
          </cell>
          <cell r="BH854">
            <v>0</v>
          </cell>
          <cell r="BI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U854">
            <v>0</v>
          </cell>
          <cell r="BV854">
            <v>0</v>
          </cell>
          <cell r="BW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N854">
            <v>0</v>
          </cell>
          <cell r="CO854">
            <v>0</v>
          </cell>
          <cell r="CP854">
            <v>0</v>
          </cell>
          <cell r="CS854">
            <v>0</v>
          </cell>
          <cell r="CU854">
            <v>0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B854">
            <v>0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H854">
            <v>0</v>
          </cell>
          <cell r="DL854">
            <v>0</v>
          </cell>
          <cell r="DM854">
            <v>0</v>
          </cell>
          <cell r="DO854">
            <v>0</v>
          </cell>
          <cell r="DQ854">
            <v>0</v>
          </cell>
          <cell r="DW854">
            <v>0</v>
          </cell>
          <cell r="DX854">
            <v>0</v>
          </cell>
          <cell r="DY854">
            <v>0</v>
          </cell>
          <cell r="DZ854">
            <v>0</v>
          </cell>
          <cell r="EA854">
            <v>0</v>
          </cell>
          <cell r="EB854">
            <v>0</v>
          </cell>
          <cell r="EC854">
            <v>0</v>
          </cell>
        </row>
        <row r="855"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R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1</v>
          </cell>
          <cell r="AJ855">
            <v>0</v>
          </cell>
          <cell r="AK855">
            <v>0</v>
          </cell>
          <cell r="AL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BA855">
            <v>0</v>
          </cell>
          <cell r="BB855">
            <v>0</v>
          </cell>
          <cell r="BH855">
            <v>0</v>
          </cell>
          <cell r="BI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U855">
            <v>0</v>
          </cell>
          <cell r="BV855">
            <v>0</v>
          </cell>
          <cell r="BW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N855">
            <v>0</v>
          </cell>
          <cell r="CO855">
            <v>0</v>
          </cell>
          <cell r="CP855">
            <v>0</v>
          </cell>
          <cell r="CS855">
            <v>0</v>
          </cell>
          <cell r="CU855">
            <v>0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B855">
            <v>0</v>
          </cell>
          <cell r="DC855">
            <v>0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H855">
            <v>0</v>
          </cell>
          <cell r="DL855">
            <v>0</v>
          </cell>
          <cell r="DM855">
            <v>0</v>
          </cell>
          <cell r="DO855">
            <v>0</v>
          </cell>
          <cell r="DQ855">
            <v>0</v>
          </cell>
          <cell r="DW855">
            <v>0</v>
          </cell>
          <cell r="DX855">
            <v>0</v>
          </cell>
          <cell r="DY855">
            <v>0</v>
          </cell>
          <cell r="DZ855">
            <v>0</v>
          </cell>
          <cell r="EA855">
            <v>0</v>
          </cell>
          <cell r="EB855">
            <v>0</v>
          </cell>
          <cell r="EC855">
            <v>0</v>
          </cell>
        </row>
        <row r="856"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R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1</v>
          </cell>
          <cell r="AI856">
            <v>0</v>
          </cell>
          <cell r="AJ856">
            <v>4</v>
          </cell>
          <cell r="AK856">
            <v>0</v>
          </cell>
          <cell r="AL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BA856">
            <v>0</v>
          </cell>
          <cell r="BB856">
            <v>0</v>
          </cell>
          <cell r="BH856">
            <v>0</v>
          </cell>
          <cell r="BI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U856">
            <v>0</v>
          </cell>
          <cell r="BV856">
            <v>0</v>
          </cell>
          <cell r="BW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N856">
            <v>0</v>
          </cell>
          <cell r="CO856">
            <v>0</v>
          </cell>
          <cell r="CP856">
            <v>0</v>
          </cell>
          <cell r="CS856">
            <v>0</v>
          </cell>
          <cell r="CU856">
            <v>0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H856">
            <v>0</v>
          </cell>
          <cell r="DL856">
            <v>0</v>
          </cell>
          <cell r="DM856">
            <v>0</v>
          </cell>
          <cell r="DO856">
            <v>0</v>
          </cell>
          <cell r="DQ856">
            <v>0</v>
          </cell>
          <cell r="DW856">
            <v>0</v>
          </cell>
          <cell r="DX856">
            <v>0</v>
          </cell>
          <cell r="DY856">
            <v>0</v>
          </cell>
          <cell r="DZ856">
            <v>0</v>
          </cell>
          <cell r="EA856">
            <v>0</v>
          </cell>
          <cell r="EB856">
            <v>0</v>
          </cell>
          <cell r="EC856">
            <v>0</v>
          </cell>
        </row>
        <row r="857"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R857">
            <v>0</v>
          </cell>
          <cell r="V857">
            <v>1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BA857">
            <v>0</v>
          </cell>
          <cell r="BB857">
            <v>0</v>
          </cell>
          <cell r="BH857">
            <v>0</v>
          </cell>
          <cell r="BI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U857">
            <v>0</v>
          </cell>
          <cell r="BV857">
            <v>0</v>
          </cell>
          <cell r="BW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N857">
            <v>0</v>
          </cell>
          <cell r="CO857">
            <v>0</v>
          </cell>
          <cell r="CP857">
            <v>0</v>
          </cell>
          <cell r="CS857">
            <v>0</v>
          </cell>
          <cell r="CU857">
            <v>0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H857">
            <v>0</v>
          </cell>
          <cell r="DL857">
            <v>0</v>
          </cell>
          <cell r="DM857">
            <v>0</v>
          </cell>
          <cell r="DO857">
            <v>0</v>
          </cell>
          <cell r="DQ857">
            <v>0</v>
          </cell>
          <cell r="DW857">
            <v>0</v>
          </cell>
          <cell r="DX857">
            <v>0</v>
          </cell>
          <cell r="DY857">
            <v>0</v>
          </cell>
          <cell r="DZ857">
            <v>0</v>
          </cell>
          <cell r="EA857">
            <v>0</v>
          </cell>
          <cell r="EB857">
            <v>0</v>
          </cell>
          <cell r="EC857">
            <v>0</v>
          </cell>
        </row>
        <row r="858">
          <cell r="D858">
            <v>0</v>
          </cell>
          <cell r="E858">
            <v>1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K858">
            <v>0</v>
          </cell>
          <cell r="L858">
            <v>0</v>
          </cell>
          <cell r="M858">
            <v>1</v>
          </cell>
          <cell r="N858">
            <v>0</v>
          </cell>
          <cell r="R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E858">
            <v>2</v>
          </cell>
          <cell r="AF858">
            <v>2</v>
          </cell>
          <cell r="AG858">
            <v>0</v>
          </cell>
          <cell r="AH858">
            <v>0</v>
          </cell>
          <cell r="AI858">
            <v>0</v>
          </cell>
          <cell r="AJ858">
            <v>1</v>
          </cell>
          <cell r="AK858">
            <v>1</v>
          </cell>
          <cell r="AL858">
            <v>1</v>
          </cell>
          <cell r="AN858">
            <v>1</v>
          </cell>
          <cell r="AO858">
            <v>1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BA858">
            <v>0</v>
          </cell>
          <cell r="BB858">
            <v>0</v>
          </cell>
          <cell r="BH858">
            <v>0</v>
          </cell>
          <cell r="BI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U858">
            <v>0</v>
          </cell>
          <cell r="BV858">
            <v>0</v>
          </cell>
          <cell r="BW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N858">
            <v>0</v>
          </cell>
          <cell r="CO858">
            <v>0</v>
          </cell>
          <cell r="CP858">
            <v>0</v>
          </cell>
          <cell r="CS858">
            <v>0</v>
          </cell>
          <cell r="CU858">
            <v>0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B858">
            <v>0</v>
          </cell>
          <cell r="DC858">
            <v>0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H858">
            <v>0</v>
          </cell>
          <cell r="DL858">
            <v>0</v>
          </cell>
          <cell r="DM858">
            <v>0</v>
          </cell>
          <cell r="DO858">
            <v>0</v>
          </cell>
          <cell r="DQ858">
            <v>0</v>
          </cell>
          <cell r="DW858">
            <v>0</v>
          </cell>
          <cell r="DX858">
            <v>0</v>
          </cell>
          <cell r="DY858">
            <v>0</v>
          </cell>
          <cell r="DZ858">
            <v>0</v>
          </cell>
          <cell r="EA858">
            <v>0</v>
          </cell>
          <cell r="EB858">
            <v>0</v>
          </cell>
          <cell r="EC858">
            <v>0</v>
          </cell>
        </row>
        <row r="859"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K859">
            <v>0</v>
          </cell>
          <cell r="L859">
            <v>0</v>
          </cell>
          <cell r="M859">
            <v>2</v>
          </cell>
          <cell r="N859">
            <v>0</v>
          </cell>
          <cell r="R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N859">
            <v>1</v>
          </cell>
          <cell r="AO859">
            <v>1</v>
          </cell>
          <cell r="AP859">
            <v>16</v>
          </cell>
          <cell r="AQ859">
            <v>0</v>
          </cell>
          <cell r="AR859">
            <v>0</v>
          </cell>
          <cell r="AS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2</v>
          </cell>
          <cell r="BA859">
            <v>0</v>
          </cell>
          <cell r="BB859">
            <v>0</v>
          </cell>
          <cell r="BH859">
            <v>0</v>
          </cell>
          <cell r="BI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U859">
            <v>0</v>
          </cell>
          <cell r="BV859">
            <v>0</v>
          </cell>
          <cell r="BW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N859">
            <v>0</v>
          </cell>
          <cell r="CO859">
            <v>0</v>
          </cell>
          <cell r="CP859">
            <v>0</v>
          </cell>
          <cell r="CS859">
            <v>0</v>
          </cell>
          <cell r="CU859">
            <v>0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B859">
            <v>0</v>
          </cell>
          <cell r="DC859">
            <v>0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H859">
            <v>0</v>
          </cell>
          <cell r="DL859">
            <v>0</v>
          </cell>
          <cell r="DM859">
            <v>0</v>
          </cell>
          <cell r="DO859">
            <v>0</v>
          </cell>
          <cell r="DQ859">
            <v>0</v>
          </cell>
          <cell r="DW859">
            <v>0</v>
          </cell>
          <cell r="DX859">
            <v>0</v>
          </cell>
          <cell r="DY859">
            <v>0</v>
          </cell>
          <cell r="DZ859">
            <v>0</v>
          </cell>
          <cell r="EA859">
            <v>0</v>
          </cell>
          <cell r="EB859">
            <v>0</v>
          </cell>
          <cell r="EC859">
            <v>0</v>
          </cell>
        </row>
        <row r="860"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1</v>
          </cell>
          <cell r="R860">
            <v>0</v>
          </cell>
          <cell r="V860">
            <v>2</v>
          </cell>
          <cell r="W860">
            <v>0</v>
          </cell>
          <cell r="X860">
            <v>0</v>
          </cell>
          <cell r="Y860">
            <v>7</v>
          </cell>
          <cell r="Z860">
            <v>0</v>
          </cell>
          <cell r="AA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U860">
            <v>0</v>
          </cell>
          <cell r="AV860">
            <v>0</v>
          </cell>
          <cell r="AW860">
            <v>1</v>
          </cell>
          <cell r="AX860">
            <v>12</v>
          </cell>
          <cell r="AY860">
            <v>0</v>
          </cell>
          <cell r="BA860">
            <v>0</v>
          </cell>
          <cell r="BB860">
            <v>0</v>
          </cell>
          <cell r="BH860">
            <v>0</v>
          </cell>
          <cell r="BI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U860">
            <v>0</v>
          </cell>
          <cell r="BV860">
            <v>0</v>
          </cell>
          <cell r="BW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N860">
            <v>0</v>
          </cell>
          <cell r="CO860">
            <v>0</v>
          </cell>
          <cell r="CP860">
            <v>0</v>
          </cell>
          <cell r="CS860">
            <v>0</v>
          </cell>
          <cell r="CU860">
            <v>0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B860">
            <v>0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H860">
            <v>0</v>
          </cell>
          <cell r="DL860">
            <v>0</v>
          </cell>
          <cell r="DM860">
            <v>0</v>
          </cell>
          <cell r="DO860">
            <v>0</v>
          </cell>
          <cell r="DQ860">
            <v>0</v>
          </cell>
          <cell r="DW860">
            <v>0</v>
          </cell>
          <cell r="DX860">
            <v>0</v>
          </cell>
          <cell r="DY860">
            <v>0</v>
          </cell>
          <cell r="DZ860">
            <v>0</v>
          </cell>
          <cell r="EA860">
            <v>0</v>
          </cell>
          <cell r="EB860">
            <v>0</v>
          </cell>
          <cell r="EC860">
            <v>0</v>
          </cell>
        </row>
        <row r="861">
          <cell r="D861">
            <v>2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11</v>
          </cell>
          <cell r="R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U861">
            <v>0</v>
          </cell>
          <cell r="AV861">
            <v>0</v>
          </cell>
          <cell r="AW861">
            <v>6</v>
          </cell>
          <cell r="AX861">
            <v>12</v>
          </cell>
          <cell r="AY861">
            <v>0</v>
          </cell>
          <cell r="BA861">
            <v>0</v>
          </cell>
          <cell r="BB861">
            <v>0</v>
          </cell>
          <cell r="BH861">
            <v>0</v>
          </cell>
          <cell r="BI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8</v>
          </cell>
          <cell r="BQ861">
            <v>0</v>
          </cell>
          <cell r="BR861">
            <v>0</v>
          </cell>
          <cell r="BS861">
            <v>0</v>
          </cell>
          <cell r="BU861">
            <v>0</v>
          </cell>
          <cell r="BV861">
            <v>0</v>
          </cell>
          <cell r="BW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N861">
            <v>0</v>
          </cell>
          <cell r="CO861">
            <v>0</v>
          </cell>
          <cell r="CP861">
            <v>0</v>
          </cell>
          <cell r="CS861">
            <v>0</v>
          </cell>
          <cell r="CU861">
            <v>0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B861">
            <v>0</v>
          </cell>
          <cell r="DC861">
            <v>0</v>
          </cell>
          <cell r="DD861">
            <v>0</v>
          </cell>
          <cell r="DE861">
            <v>0</v>
          </cell>
          <cell r="DF861">
            <v>0</v>
          </cell>
          <cell r="DG861">
            <v>0</v>
          </cell>
          <cell r="DH861">
            <v>0</v>
          </cell>
          <cell r="DL861">
            <v>0</v>
          </cell>
          <cell r="DM861">
            <v>0</v>
          </cell>
          <cell r="DO861">
            <v>0</v>
          </cell>
          <cell r="DQ861">
            <v>0</v>
          </cell>
          <cell r="DW861">
            <v>0</v>
          </cell>
          <cell r="DX861">
            <v>0</v>
          </cell>
          <cell r="DY861">
            <v>0</v>
          </cell>
          <cell r="DZ861">
            <v>0</v>
          </cell>
          <cell r="EA861">
            <v>0</v>
          </cell>
          <cell r="EB861">
            <v>0</v>
          </cell>
          <cell r="EC861">
            <v>0</v>
          </cell>
        </row>
        <row r="862"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R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BA862">
            <v>0</v>
          </cell>
          <cell r="BB862">
            <v>0</v>
          </cell>
          <cell r="BH862">
            <v>0</v>
          </cell>
          <cell r="BI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U862">
            <v>0</v>
          </cell>
          <cell r="BV862">
            <v>0</v>
          </cell>
          <cell r="BW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N862">
            <v>0</v>
          </cell>
          <cell r="CO862">
            <v>0</v>
          </cell>
          <cell r="CP862">
            <v>0</v>
          </cell>
          <cell r="CS862">
            <v>0</v>
          </cell>
          <cell r="CU862">
            <v>0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H862">
            <v>0</v>
          </cell>
          <cell r="DL862">
            <v>0</v>
          </cell>
          <cell r="DM862">
            <v>0</v>
          </cell>
          <cell r="DO862">
            <v>0</v>
          </cell>
          <cell r="DQ862">
            <v>0</v>
          </cell>
          <cell r="DW862">
            <v>0</v>
          </cell>
          <cell r="DX862">
            <v>0</v>
          </cell>
          <cell r="DY862">
            <v>0</v>
          </cell>
          <cell r="DZ862">
            <v>0</v>
          </cell>
          <cell r="EA862">
            <v>0</v>
          </cell>
          <cell r="EB862">
            <v>0</v>
          </cell>
          <cell r="EC862">
            <v>0</v>
          </cell>
        </row>
        <row r="863">
          <cell r="D863">
            <v>0</v>
          </cell>
          <cell r="E863">
            <v>1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R863">
            <v>0</v>
          </cell>
          <cell r="V863">
            <v>0</v>
          </cell>
          <cell r="W863">
            <v>0</v>
          </cell>
          <cell r="X863">
            <v>1</v>
          </cell>
          <cell r="Y863">
            <v>1</v>
          </cell>
          <cell r="Z863">
            <v>0</v>
          </cell>
          <cell r="AA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1</v>
          </cell>
          <cell r="AL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1</v>
          </cell>
          <cell r="BA863">
            <v>0</v>
          </cell>
          <cell r="BB863">
            <v>0</v>
          </cell>
          <cell r="BH863">
            <v>0</v>
          </cell>
          <cell r="BI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U863">
            <v>0</v>
          </cell>
          <cell r="BV863">
            <v>0</v>
          </cell>
          <cell r="BW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N863">
            <v>0</v>
          </cell>
          <cell r="CO863">
            <v>0</v>
          </cell>
          <cell r="CP863">
            <v>0</v>
          </cell>
          <cell r="CS863">
            <v>0</v>
          </cell>
          <cell r="CU863">
            <v>0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B863">
            <v>0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0</v>
          </cell>
          <cell r="DH863">
            <v>0</v>
          </cell>
          <cell r="DL863">
            <v>0</v>
          </cell>
          <cell r="DM863">
            <v>0</v>
          </cell>
          <cell r="DO863">
            <v>0</v>
          </cell>
          <cell r="DQ863">
            <v>0</v>
          </cell>
          <cell r="DW863">
            <v>0</v>
          </cell>
          <cell r="DX863">
            <v>0</v>
          </cell>
          <cell r="DY863">
            <v>0</v>
          </cell>
          <cell r="DZ863">
            <v>0</v>
          </cell>
          <cell r="EA863">
            <v>0</v>
          </cell>
          <cell r="EB863">
            <v>0</v>
          </cell>
          <cell r="EC863">
            <v>0</v>
          </cell>
        </row>
        <row r="864"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R864">
            <v>0</v>
          </cell>
          <cell r="V864">
            <v>1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BA864">
            <v>0</v>
          </cell>
          <cell r="BB864">
            <v>0</v>
          </cell>
          <cell r="BH864">
            <v>0</v>
          </cell>
          <cell r="BI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U864">
            <v>0</v>
          </cell>
          <cell r="BV864">
            <v>0</v>
          </cell>
          <cell r="BW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N864">
            <v>0</v>
          </cell>
          <cell r="CO864">
            <v>0</v>
          </cell>
          <cell r="CP864">
            <v>0</v>
          </cell>
          <cell r="CS864">
            <v>0</v>
          </cell>
          <cell r="CU864">
            <v>0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B864">
            <v>0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0</v>
          </cell>
          <cell r="DH864">
            <v>0</v>
          </cell>
          <cell r="DL864">
            <v>0</v>
          </cell>
          <cell r="DM864">
            <v>0</v>
          </cell>
          <cell r="DO864">
            <v>0</v>
          </cell>
          <cell r="DQ864">
            <v>0</v>
          </cell>
          <cell r="DW864">
            <v>0</v>
          </cell>
          <cell r="DX864">
            <v>0</v>
          </cell>
          <cell r="DY864">
            <v>0</v>
          </cell>
          <cell r="DZ864">
            <v>0</v>
          </cell>
          <cell r="EA864">
            <v>0</v>
          </cell>
          <cell r="EB864">
            <v>0</v>
          </cell>
          <cell r="EC864">
            <v>0</v>
          </cell>
        </row>
        <row r="865"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R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N865">
            <v>0</v>
          </cell>
          <cell r="AO865">
            <v>0</v>
          </cell>
          <cell r="AP865">
            <v>16</v>
          </cell>
          <cell r="AQ865">
            <v>0</v>
          </cell>
          <cell r="AR865">
            <v>0</v>
          </cell>
          <cell r="AS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BA865">
            <v>0</v>
          </cell>
          <cell r="BB865">
            <v>0</v>
          </cell>
          <cell r="BH865">
            <v>0</v>
          </cell>
          <cell r="BI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U865">
            <v>0</v>
          </cell>
          <cell r="BV865">
            <v>0</v>
          </cell>
          <cell r="BW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N865">
            <v>0</v>
          </cell>
          <cell r="CO865">
            <v>0</v>
          </cell>
          <cell r="CP865">
            <v>0</v>
          </cell>
          <cell r="CS865">
            <v>0</v>
          </cell>
          <cell r="CU865">
            <v>0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H865">
            <v>0</v>
          </cell>
          <cell r="DL865">
            <v>0</v>
          </cell>
          <cell r="DM865">
            <v>0</v>
          </cell>
          <cell r="DO865">
            <v>0</v>
          </cell>
          <cell r="DQ865">
            <v>0</v>
          </cell>
          <cell r="DW865">
            <v>0</v>
          </cell>
          <cell r="DX865">
            <v>0</v>
          </cell>
          <cell r="DY865">
            <v>0</v>
          </cell>
          <cell r="DZ865">
            <v>0</v>
          </cell>
          <cell r="EA865">
            <v>0</v>
          </cell>
          <cell r="EB865">
            <v>0</v>
          </cell>
          <cell r="EC865">
            <v>0</v>
          </cell>
        </row>
        <row r="866">
          <cell r="D866">
            <v>1</v>
          </cell>
          <cell r="E866">
            <v>1</v>
          </cell>
          <cell r="F866">
            <v>1</v>
          </cell>
          <cell r="G866">
            <v>0</v>
          </cell>
          <cell r="H866">
            <v>0</v>
          </cell>
          <cell r="I866">
            <v>1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R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1</v>
          </cell>
          <cell r="Z866">
            <v>0</v>
          </cell>
          <cell r="AA866">
            <v>1</v>
          </cell>
          <cell r="AE866">
            <v>0</v>
          </cell>
          <cell r="AF866">
            <v>0</v>
          </cell>
          <cell r="AG866">
            <v>0</v>
          </cell>
          <cell r="AH866">
            <v>1</v>
          </cell>
          <cell r="AI866">
            <v>1</v>
          </cell>
          <cell r="AJ866">
            <v>0</v>
          </cell>
          <cell r="AK866">
            <v>1</v>
          </cell>
          <cell r="AL866">
            <v>0</v>
          </cell>
          <cell r="AN866">
            <v>0</v>
          </cell>
          <cell r="AO866">
            <v>0</v>
          </cell>
          <cell r="AP866">
            <v>2</v>
          </cell>
          <cell r="AQ866">
            <v>1</v>
          </cell>
          <cell r="AR866">
            <v>0</v>
          </cell>
          <cell r="AS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3</v>
          </cell>
          <cell r="BA866">
            <v>0</v>
          </cell>
          <cell r="BB866">
            <v>0</v>
          </cell>
          <cell r="BH866">
            <v>0</v>
          </cell>
          <cell r="BI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U866">
            <v>0</v>
          </cell>
          <cell r="BV866">
            <v>0</v>
          </cell>
          <cell r="BW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N866">
            <v>0</v>
          </cell>
          <cell r="CO866">
            <v>0</v>
          </cell>
          <cell r="CP866">
            <v>0</v>
          </cell>
          <cell r="CS866">
            <v>0</v>
          </cell>
          <cell r="CU866">
            <v>0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B866">
            <v>0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0</v>
          </cell>
          <cell r="DH866">
            <v>0</v>
          </cell>
          <cell r="DL866">
            <v>0</v>
          </cell>
          <cell r="DM866">
            <v>0</v>
          </cell>
          <cell r="DO866">
            <v>0</v>
          </cell>
          <cell r="DQ866">
            <v>0</v>
          </cell>
          <cell r="DW866">
            <v>0</v>
          </cell>
          <cell r="DX866">
            <v>0</v>
          </cell>
          <cell r="DY866">
            <v>0</v>
          </cell>
          <cell r="DZ866">
            <v>0</v>
          </cell>
          <cell r="EA866">
            <v>0</v>
          </cell>
          <cell r="EB866">
            <v>0</v>
          </cell>
          <cell r="EC866">
            <v>0</v>
          </cell>
        </row>
        <row r="867"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2</v>
          </cell>
          <cell r="R867">
            <v>0</v>
          </cell>
          <cell r="V867">
            <v>0</v>
          </cell>
          <cell r="W867">
            <v>0</v>
          </cell>
          <cell r="X867">
            <v>2</v>
          </cell>
          <cell r="Y867">
            <v>0</v>
          </cell>
          <cell r="Z867">
            <v>0</v>
          </cell>
          <cell r="AA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U867">
            <v>0</v>
          </cell>
          <cell r="AV867">
            <v>0</v>
          </cell>
          <cell r="AW867">
            <v>2</v>
          </cell>
          <cell r="AX867">
            <v>36</v>
          </cell>
          <cell r="AY867">
            <v>0</v>
          </cell>
          <cell r="BA867">
            <v>0</v>
          </cell>
          <cell r="BB867">
            <v>0</v>
          </cell>
          <cell r="BH867">
            <v>0</v>
          </cell>
          <cell r="BI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U867">
            <v>0</v>
          </cell>
          <cell r="BV867">
            <v>0</v>
          </cell>
          <cell r="BW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N867">
            <v>0</v>
          </cell>
          <cell r="CO867">
            <v>0</v>
          </cell>
          <cell r="CP867">
            <v>0</v>
          </cell>
          <cell r="CS867">
            <v>0</v>
          </cell>
          <cell r="CU867">
            <v>0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H867">
            <v>0</v>
          </cell>
          <cell r="DL867">
            <v>0</v>
          </cell>
          <cell r="DM867">
            <v>0</v>
          </cell>
          <cell r="DO867">
            <v>0</v>
          </cell>
          <cell r="DQ867">
            <v>0</v>
          </cell>
          <cell r="DW867">
            <v>0</v>
          </cell>
          <cell r="DX867">
            <v>0</v>
          </cell>
          <cell r="DY867">
            <v>0</v>
          </cell>
          <cell r="DZ867">
            <v>0</v>
          </cell>
          <cell r="EA867">
            <v>0</v>
          </cell>
          <cell r="EB867">
            <v>0</v>
          </cell>
          <cell r="EC867">
            <v>0</v>
          </cell>
        </row>
        <row r="868"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R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N868">
            <v>1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1</v>
          </cell>
          <cell r="BA868">
            <v>0</v>
          </cell>
          <cell r="BB868">
            <v>0</v>
          </cell>
          <cell r="BH868">
            <v>0</v>
          </cell>
          <cell r="BI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U868">
            <v>0</v>
          </cell>
          <cell r="BV868">
            <v>0</v>
          </cell>
          <cell r="BW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N868">
            <v>0</v>
          </cell>
          <cell r="CO868">
            <v>0</v>
          </cell>
          <cell r="CP868">
            <v>0</v>
          </cell>
          <cell r="CS868">
            <v>0</v>
          </cell>
          <cell r="CU868">
            <v>0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B868">
            <v>0</v>
          </cell>
          <cell r="DC868">
            <v>0</v>
          </cell>
          <cell r="DD868">
            <v>0</v>
          </cell>
          <cell r="DE868">
            <v>0</v>
          </cell>
          <cell r="DF868">
            <v>0</v>
          </cell>
          <cell r="DG868">
            <v>0</v>
          </cell>
          <cell r="DH868">
            <v>0</v>
          </cell>
          <cell r="DL868">
            <v>0</v>
          </cell>
          <cell r="DM868">
            <v>0</v>
          </cell>
          <cell r="DO868">
            <v>0</v>
          </cell>
          <cell r="DQ868">
            <v>0</v>
          </cell>
          <cell r="DW868">
            <v>0</v>
          </cell>
          <cell r="DX868">
            <v>0</v>
          </cell>
          <cell r="DY868">
            <v>0</v>
          </cell>
          <cell r="DZ868">
            <v>0</v>
          </cell>
          <cell r="EA868">
            <v>0</v>
          </cell>
          <cell r="EB868">
            <v>0</v>
          </cell>
          <cell r="EC868">
            <v>0</v>
          </cell>
        </row>
        <row r="869"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R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N869">
            <v>1</v>
          </cell>
          <cell r="AO869">
            <v>1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BA869">
            <v>0</v>
          </cell>
          <cell r="BB869">
            <v>0</v>
          </cell>
          <cell r="BH869">
            <v>0</v>
          </cell>
          <cell r="BI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U869">
            <v>0</v>
          </cell>
          <cell r="BV869">
            <v>0</v>
          </cell>
          <cell r="BW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N869">
            <v>0</v>
          </cell>
          <cell r="CO869">
            <v>0</v>
          </cell>
          <cell r="CP869">
            <v>0</v>
          </cell>
          <cell r="CS869">
            <v>0</v>
          </cell>
          <cell r="CU869">
            <v>0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H869">
            <v>0</v>
          </cell>
          <cell r="DL869">
            <v>0</v>
          </cell>
          <cell r="DM869">
            <v>0</v>
          </cell>
          <cell r="DO869">
            <v>0</v>
          </cell>
          <cell r="DQ869">
            <v>0</v>
          </cell>
          <cell r="DW869">
            <v>0</v>
          </cell>
          <cell r="DX869">
            <v>0</v>
          </cell>
          <cell r="DY869">
            <v>0</v>
          </cell>
          <cell r="DZ869">
            <v>0</v>
          </cell>
          <cell r="EA869">
            <v>0</v>
          </cell>
          <cell r="EB869">
            <v>0</v>
          </cell>
          <cell r="EC869">
            <v>0</v>
          </cell>
        </row>
        <row r="870"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R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E870">
            <v>0</v>
          </cell>
          <cell r="AF870">
            <v>1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BA870">
            <v>0</v>
          </cell>
          <cell r="BB870">
            <v>0</v>
          </cell>
          <cell r="BH870">
            <v>0</v>
          </cell>
          <cell r="BI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U870">
            <v>0</v>
          </cell>
          <cell r="BV870">
            <v>0</v>
          </cell>
          <cell r="BW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N870">
            <v>0</v>
          </cell>
          <cell r="CO870">
            <v>0</v>
          </cell>
          <cell r="CP870">
            <v>0</v>
          </cell>
          <cell r="CS870">
            <v>0</v>
          </cell>
          <cell r="CU870">
            <v>0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H870">
            <v>0</v>
          </cell>
          <cell r="DL870">
            <v>0</v>
          </cell>
          <cell r="DM870">
            <v>0</v>
          </cell>
          <cell r="DO870">
            <v>0</v>
          </cell>
          <cell r="DQ870">
            <v>0</v>
          </cell>
          <cell r="DW870">
            <v>0</v>
          </cell>
          <cell r="DX870">
            <v>0</v>
          </cell>
          <cell r="DY870">
            <v>0</v>
          </cell>
          <cell r="DZ870">
            <v>0</v>
          </cell>
          <cell r="EA870">
            <v>0</v>
          </cell>
          <cell r="EB870">
            <v>0</v>
          </cell>
          <cell r="EC870">
            <v>0</v>
          </cell>
        </row>
        <row r="871"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R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BA871">
            <v>0</v>
          </cell>
          <cell r="BB871">
            <v>0</v>
          </cell>
          <cell r="BH871">
            <v>0</v>
          </cell>
          <cell r="BI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8</v>
          </cell>
          <cell r="BQ871">
            <v>0</v>
          </cell>
          <cell r="BR871">
            <v>0</v>
          </cell>
          <cell r="BS871">
            <v>0</v>
          </cell>
          <cell r="BU871">
            <v>0</v>
          </cell>
          <cell r="BV871">
            <v>0</v>
          </cell>
          <cell r="BW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N871">
            <v>0</v>
          </cell>
          <cell r="CO871">
            <v>0</v>
          </cell>
          <cell r="CP871">
            <v>0</v>
          </cell>
          <cell r="CS871">
            <v>0</v>
          </cell>
          <cell r="CU871">
            <v>0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H871">
            <v>0</v>
          </cell>
          <cell r="DL871">
            <v>0</v>
          </cell>
          <cell r="DM871">
            <v>0</v>
          </cell>
          <cell r="DO871">
            <v>0</v>
          </cell>
          <cell r="DQ871">
            <v>0</v>
          </cell>
          <cell r="DW871">
            <v>0</v>
          </cell>
          <cell r="DX871">
            <v>0</v>
          </cell>
          <cell r="DY871">
            <v>0</v>
          </cell>
          <cell r="DZ871">
            <v>0</v>
          </cell>
          <cell r="EA871">
            <v>0</v>
          </cell>
          <cell r="EB871">
            <v>0</v>
          </cell>
          <cell r="EC871">
            <v>0</v>
          </cell>
        </row>
        <row r="872"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R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4</v>
          </cell>
          <cell r="AK872">
            <v>0</v>
          </cell>
          <cell r="AL872">
            <v>0</v>
          </cell>
          <cell r="AN872">
            <v>0</v>
          </cell>
          <cell r="AO872">
            <v>0</v>
          </cell>
          <cell r="AP872">
            <v>8</v>
          </cell>
          <cell r="AQ872">
            <v>0</v>
          </cell>
          <cell r="AR872">
            <v>0</v>
          </cell>
          <cell r="AS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BA872">
            <v>0</v>
          </cell>
          <cell r="BB872">
            <v>0</v>
          </cell>
          <cell r="BH872">
            <v>0</v>
          </cell>
          <cell r="BI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U872">
            <v>0</v>
          </cell>
          <cell r="BV872">
            <v>0</v>
          </cell>
          <cell r="BW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N872">
            <v>0</v>
          </cell>
          <cell r="CO872">
            <v>0</v>
          </cell>
          <cell r="CP872">
            <v>0</v>
          </cell>
          <cell r="CS872">
            <v>0</v>
          </cell>
          <cell r="CU872">
            <v>0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G872">
            <v>0</v>
          </cell>
          <cell r="DH872">
            <v>0</v>
          </cell>
          <cell r="DL872">
            <v>0</v>
          </cell>
          <cell r="DM872">
            <v>0</v>
          </cell>
          <cell r="DO872">
            <v>0</v>
          </cell>
          <cell r="DQ872">
            <v>0</v>
          </cell>
          <cell r="DW872">
            <v>0</v>
          </cell>
          <cell r="DX872">
            <v>0</v>
          </cell>
          <cell r="DY872">
            <v>0</v>
          </cell>
          <cell r="DZ872">
            <v>0</v>
          </cell>
          <cell r="EA872">
            <v>0</v>
          </cell>
          <cell r="EB872">
            <v>0</v>
          </cell>
          <cell r="EC872">
            <v>0</v>
          </cell>
        </row>
        <row r="873"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R873">
            <v>0</v>
          </cell>
          <cell r="V873">
            <v>1</v>
          </cell>
          <cell r="W873">
            <v>0</v>
          </cell>
          <cell r="X873">
            <v>2</v>
          </cell>
          <cell r="Y873">
            <v>0</v>
          </cell>
          <cell r="Z873">
            <v>0</v>
          </cell>
          <cell r="AA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BA873">
            <v>0</v>
          </cell>
          <cell r="BB873">
            <v>0</v>
          </cell>
          <cell r="BH873">
            <v>0</v>
          </cell>
          <cell r="BI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U873">
            <v>0</v>
          </cell>
          <cell r="BV873">
            <v>0</v>
          </cell>
          <cell r="BW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N873">
            <v>0</v>
          </cell>
          <cell r="CO873">
            <v>0</v>
          </cell>
          <cell r="CP873">
            <v>0</v>
          </cell>
          <cell r="CS873">
            <v>0</v>
          </cell>
          <cell r="CU873">
            <v>0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0</v>
          </cell>
          <cell r="DF873">
            <v>0</v>
          </cell>
          <cell r="DG873">
            <v>0</v>
          </cell>
          <cell r="DH873">
            <v>0</v>
          </cell>
          <cell r="DL873">
            <v>0</v>
          </cell>
          <cell r="DM873">
            <v>0</v>
          </cell>
          <cell r="DO873">
            <v>0</v>
          </cell>
          <cell r="DQ873">
            <v>0</v>
          </cell>
          <cell r="DW873">
            <v>0</v>
          </cell>
          <cell r="DX873">
            <v>0</v>
          </cell>
          <cell r="DY873">
            <v>0</v>
          </cell>
          <cell r="DZ873">
            <v>0</v>
          </cell>
          <cell r="EA873">
            <v>0</v>
          </cell>
          <cell r="EB873">
            <v>0</v>
          </cell>
          <cell r="EC873">
            <v>0</v>
          </cell>
        </row>
        <row r="874"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R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BA874">
            <v>0</v>
          </cell>
          <cell r="BB874">
            <v>0</v>
          </cell>
          <cell r="BH874">
            <v>0</v>
          </cell>
          <cell r="BI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U874">
            <v>0</v>
          </cell>
          <cell r="BV874">
            <v>0</v>
          </cell>
          <cell r="BW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N874">
            <v>0</v>
          </cell>
          <cell r="CO874">
            <v>0</v>
          </cell>
          <cell r="CP874">
            <v>0</v>
          </cell>
          <cell r="CS874">
            <v>0</v>
          </cell>
          <cell r="CU874">
            <v>0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0</v>
          </cell>
          <cell r="DH874">
            <v>0</v>
          </cell>
          <cell r="DL874">
            <v>0</v>
          </cell>
          <cell r="DM874">
            <v>0</v>
          </cell>
          <cell r="DO874">
            <v>0</v>
          </cell>
          <cell r="DQ874">
            <v>0</v>
          </cell>
          <cell r="DW874">
            <v>0</v>
          </cell>
          <cell r="DX874">
            <v>0</v>
          </cell>
          <cell r="DY874">
            <v>0</v>
          </cell>
          <cell r="DZ874">
            <v>0</v>
          </cell>
          <cell r="EA874">
            <v>0</v>
          </cell>
          <cell r="EB874">
            <v>0</v>
          </cell>
          <cell r="EC874">
            <v>0</v>
          </cell>
        </row>
        <row r="875"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R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BA875">
            <v>0</v>
          </cell>
          <cell r="BB875">
            <v>0</v>
          </cell>
          <cell r="BH875">
            <v>0</v>
          </cell>
          <cell r="BI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12</v>
          </cell>
          <cell r="BQ875">
            <v>0</v>
          </cell>
          <cell r="BR875">
            <v>0</v>
          </cell>
          <cell r="BS875">
            <v>0</v>
          </cell>
          <cell r="BU875">
            <v>0</v>
          </cell>
          <cell r="BV875">
            <v>0</v>
          </cell>
          <cell r="BW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N875">
            <v>0</v>
          </cell>
          <cell r="CO875">
            <v>0</v>
          </cell>
          <cell r="CP875">
            <v>0</v>
          </cell>
          <cell r="CS875">
            <v>0</v>
          </cell>
          <cell r="CU875">
            <v>0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H875">
            <v>0</v>
          </cell>
          <cell r="DL875">
            <v>0</v>
          </cell>
          <cell r="DM875">
            <v>0</v>
          </cell>
          <cell r="DO875">
            <v>0</v>
          </cell>
          <cell r="DQ875">
            <v>0</v>
          </cell>
          <cell r="DW875">
            <v>0</v>
          </cell>
          <cell r="DX875">
            <v>0</v>
          </cell>
          <cell r="DY875">
            <v>0</v>
          </cell>
          <cell r="DZ875">
            <v>0</v>
          </cell>
          <cell r="EA875">
            <v>0</v>
          </cell>
          <cell r="EB875">
            <v>0</v>
          </cell>
          <cell r="EC875">
            <v>0</v>
          </cell>
        </row>
        <row r="876"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2</v>
          </cell>
          <cell r="R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U876">
            <v>0</v>
          </cell>
          <cell r="AV876">
            <v>0</v>
          </cell>
          <cell r="AW876">
            <v>2</v>
          </cell>
          <cell r="AX876">
            <v>0</v>
          </cell>
          <cell r="AY876">
            <v>0</v>
          </cell>
          <cell r="BA876">
            <v>0</v>
          </cell>
          <cell r="BB876">
            <v>0</v>
          </cell>
          <cell r="BH876">
            <v>0</v>
          </cell>
          <cell r="BI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U876">
            <v>0</v>
          </cell>
          <cell r="BV876">
            <v>0</v>
          </cell>
          <cell r="BW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N876">
            <v>0</v>
          </cell>
          <cell r="CO876">
            <v>0</v>
          </cell>
          <cell r="CP876">
            <v>0</v>
          </cell>
          <cell r="CS876">
            <v>0</v>
          </cell>
          <cell r="CU876">
            <v>0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H876">
            <v>0</v>
          </cell>
          <cell r="DL876">
            <v>0</v>
          </cell>
          <cell r="DM876">
            <v>0</v>
          </cell>
          <cell r="DO876">
            <v>0</v>
          </cell>
          <cell r="DQ876">
            <v>0</v>
          </cell>
          <cell r="DW876">
            <v>0</v>
          </cell>
          <cell r="DX876">
            <v>0</v>
          </cell>
          <cell r="DY876">
            <v>0</v>
          </cell>
          <cell r="DZ876">
            <v>0</v>
          </cell>
          <cell r="EA876">
            <v>0</v>
          </cell>
          <cell r="EB876">
            <v>0</v>
          </cell>
          <cell r="EC876">
            <v>0</v>
          </cell>
        </row>
        <row r="877"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R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BA877">
            <v>0</v>
          </cell>
          <cell r="BB877">
            <v>0</v>
          </cell>
          <cell r="BH877">
            <v>0</v>
          </cell>
          <cell r="BI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U877">
            <v>0</v>
          </cell>
          <cell r="BV877">
            <v>0</v>
          </cell>
          <cell r="BW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  <cell r="CN877">
            <v>0</v>
          </cell>
          <cell r="CO877">
            <v>0</v>
          </cell>
          <cell r="CP877">
            <v>0</v>
          </cell>
          <cell r="CS877">
            <v>0</v>
          </cell>
          <cell r="CU877">
            <v>0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B877">
            <v>0</v>
          </cell>
          <cell r="DC877">
            <v>0</v>
          </cell>
          <cell r="DD877">
            <v>0</v>
          </cell>
          <cell r="DE877">
            <v>0</v>
          </cell>
          <cell r="DF877">
            <v>0</v>
          </cell>
          <cell r="DG877">
            <v>0</v>
          </cell>
          <cell r="DH877">
            <v>0</v>
          </cell>
          <cell r="DL877">
            <v>0</v>
          </cell>
          <cell r="DM877">
            <v>0</v>
          </cell>
          <cell r="DO877">
            <v>0</v>
          </cell>
          <cell r="DQ877">
            <v>0</v>
          </cell>
          <cell r="DW877">
            <v>0</v>
          </cell>
          <cell r="DX877">
            <v>0</v>
          </cell>
          <cell r="DY877">
            <v>0</v>
          </cell>
          <cell r="DZ877">
            <v>0</v>
          </cell>
          <cell r="EA877">
            <v>0</v>
          </cell>
          <cell r="EB877">
            <v>0</v>
          </cell>
          <cell r="EC877">
            <v>0</v>
          </cell>
        </row>
        <row r="878">
          <cell r="D878">
            <v>0</v>
          </cell>
          <cell r="E878">
            <v>0</v>
          </cell>
          <cell r="F878">
            <v>2</v>
          </cell>
          <cell r="G878">
            <v>0</v>
          </cell>
          <cell r="H878">
            <v>0</v>
          </cell>
          <cell r="I878">
            <v>2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R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2</v>
          </cell>
          <cell r="AA878">
            <v>2</v>
          </cell>
          <cell r="AE878">
            <v>0</v>
          </cell>
          <cell r="AF878">
            <v>0</v>
          </cell>
          <cell r="AG878">
            <v>0</v>
          </cell>
          <cell r="AH878">
            <v>1</v>
          </cell>
          <cell r="AI878">
            <v>1</v>
          </cell>
          <cell r="AJ878">
            <v>0</v>
          </cell>
          <cell r="AK878">
            <v>0</v>
          </cell>
          <cell r="AL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2</v>
          </cell>
          <cell r="AR878">
            <v>0</v>
          </cell>
          <cell r="AS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1</v>
          </cell>
          <cell r="BA878">
            <v>0</v>
          </cell>
          <cell r="BB878">
            <v>0</v>
          </cell>
          <cell r="BH878">
            <v>0</v>
          </cell>
          <cell r="BI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U878">
            <v>0</v>
          </cell>
          <cell r="BV878">
            <v>0</v>
          </cell>
          <cell r="BW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  <cell r="CN878">
            <v>0</v>
          </cell>
          <cell r="CO878">
            <v>0</v>
          </cell>
          <cell r="CP878">
            <v>0</v>
          </cell>
          <cell r="CS878">
            <v>0</v>
          </cell>
          <cell r="CU878">
            <v>0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B878">
            <v>0</v>
          </cell>
          <cell r="DC878">
            <v>0</v>
          </cell>
          <cell r="DD878">
            <v>0</v>
          </cell>
          <cell r="DE878">
            <v>0</v>
          </cell>
          <cell r="DF878">
            <v>0</v>
          </cell>
          <cell r="DG878">
            <v>0</v>
          </cell>
          <cell r="DH878">
            <v>0</v>
          </cell>
          <cell r="DL878">
            <v>0</v>
          </cell>
          <cell r="DM878">
            <v>0</v>
          </cell>
          <cell r="DO878">
            <v>0</v>
          </cell>
          <cell r="DQ878">
            <v>0</v>
          </cell>
          <cell r="DW878">
            <v>0</v>
          </cell>
          <cell r="DX878">
            <v>0</v>
          </cell>
          <cell r="DY878">
            <v>0</v>
          </cell>
          <cell r="DZ878">
            <v>0</v>
          </cell>
          <cell r="EA878">
            <v>0</v>
          </cell>
          <cell r="EB878">
            <v>0</v>
          </cell>
          <cell r="EC878">
            <v>0</v>
          </cell>
        </row>
        <row r="879"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1</v>
          </cell>
          <cell r="R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U879">
            <v>0</v>
          </cell>
          <cell r="AV879">
            <v>0</v>
          </cell>
          <cell r="AW879">
            <v>1</v>
          </cell>
          <cell r="AX879">
            <v>0</v>
          </cell>
          <cell r="AY879">
            <v>0</v>
          </cell>
          <cell r="BA879">
            <v>0</v>
          </cell>
          <cell r="BB879">
            <v>0</v>
          </cell>
          <cell r="BH879">
            <v>0</v>
          </cell>
          <cell r="BI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U879">
            <v>0</v>
          </cell>
          <cell r="BV879">
            <v>0</v>
          </cell>
          <cell r="BW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  <cell r="CN879">
            <v>0</v>
          </cell>
          <cell r="CO879">
            <v>0</v>
          </cell>
          <cell r="CP879">
            <v>0</v>
          </cell>
          <cell r="CS879">
            <v>0</v>
          </cell>
          <cell r="CU879">
            <v>0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B879">
            <v>0</v>
          </cell>
          <cell r="DC879">
            <v>0</v>
          </cell>
          <cell r="DD879">
            <v>0</v>
          </cell>
          <cell r="DE879">
            <v>0</v>
          </cell>
          <cell r="DF879">
            <v>0</v>
          </cell>
          <cell r="DG879">
            <v>0</v>
          </cell>
          <cell r="DH879">
            <v>0</v>
          </cell>
          <cell r="DL879">
            <v>0</v>
          </cell>
          <cell r="DM879">
            <v>0</v>
          </cell>
          <cell r="DO879">
            <v>0</v>
          </cell>
          <cell r="DQ879">
            <v>0</v>
          </cell>
          <cell r="DW879">
            <v>0</v>
          </cell>
          <cell r="DX879">
            <v>0</v>
          </cell>
          <cell r="DY879">
            <v>0</v>
          </cell>
          <cell r="DZ879">
            <v>0</v>
          </cell>
          <cell r="EA879">
            <v>0</v>
          </cell>
          <cell r="EB879">
            <v>0</v>
          </cell>
          <cell r="EC879">
            <v>0</v>
          </cell>
        </row>
        <row r="880"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R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BA880">
            <v>0</v>
          </cell>
          <cell r="BB880">
            <v>0</v>
          </cell>
          <cell r="BH880">
            <v>0</v>
          </cell>
          <cell r="BI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U880">
            <v>0</v>
          </cell>
          <cell r="BV880">
            <v>0</v>
          </cell>
          <cell r="BW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  <cell r="CN880">
            <v>0</v>
          </cell>
          <cell r="CO880">
            <v>0</v>
          </cell>
          <cell r="CP880">
            <v>0</v>
          </cell>
          <cell r="CS880">
            <v>0</v>
          </cell>
          <cell r="CU880">
            <v>0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B880">
            <v>0</v>
          </cell>
          <cell r="DC880">
            <v>0</v>
          </cell>
          <cell r="DD880">
            <v>0</v>
          </cell>
          <cell r="DE880">
            <v>0</v>
          </cell>
          <cell r="DF880">
            <v>0</v>
          </cell>
          <cell r="DG880">
            <v>0</v>
          </cell>
          <cell r="DH880">
            <v>0</v>
          </cell>
          <cell r="DL880">
            <v>0</v>
          </cell>
          <cell r="DM880">
            <v>0</v>
          </cell>
          <cell r="DO880">
            <v>0</v>
          </cell>
          <cell r="DQ880">
            <v>0</v>
          </cell>
          <cell r="DW880">
            <v>0</v>
          </cell>
          <cell r="DX880">
            <v>0</v>
          </cell>
          <cell r="DY880">
            <v>0</v>
          </cell>
          <cell r="DZ880">
            <v>0</v>
          </cell>
          <cell r="EA880">
            <v>0</v>
          </cell>
          <cell r="EB880">
            <v>0</v>
          </cell>
          <cell r="EC880">
            <v>0</v>
          </cell>
        </row>
        <row r="881"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R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12</v>
          </cell>
          <cell r="AY881">
            <v>0</v>
          </cell>
          <cell r="BA881">
            <v>0</v>
          </cell>
          <cell r="BB881">
            <v>0</v>
          </cell>
          <cell r="BH881">
            <v>0</v>
          </cell>
          <cell r="BI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U881">
            <v>0</v>
          </cell>
          <cell r="BV881">
            <v>0</v>
          </cell>
          <cell r="BW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  <cell r="CN881">
            <v>0</v>
          </cell>
          <cell r="CO881">
            <v>0</v>
          </cell>
          <cell r="CP881">
            <v>0</v>
          </cell>
          <cell r="CS881">
            <v>0</v>
          </cell>
          <cell r="CU881">
            <v>0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B881">
            <v>0</v>
          </cell>
          <cell r="DC881">
            <v>0</v>
          </cell>
          <cell r="DD881">
            <v>0</v>
          </cell>
          <cell r="DE881">
            <v>0</v>
          </cell>
          <cell r="DF881">
            <v>0</v>
          </cell>
          <cell r="DG881">
            <v>0</v>
          </cell>
          <cell r="DH881">
            <v>0</v>
          </cell>
          <cell r="DL881">
            <v>0</v>
          </cell>
          <cell r="DM881">
            <v>0</v>
          </cell>
          <cell r="DO881">
            <v>0</v>
          </cell>
          <cell r="DQ881">
            <v>0</v>
          </cell>
          <cell r="DW881">
            <v>0</v>
          </cell>
          <cell r="DX881">
            <v>0</v>
          </cell>
          <cell r="DY881">
            <v>0</v>
          </cell>
          <cell r="DZ881">
            <v>0</v>
          </cell>
          <cell r="EA881">
            <v>0</v>
          </cell>
          <cell r="EB881">
            <v>0</v>
          </cell>
          <cell r="EC881">
            <v>0</v>
          </cell>
        </row>
        <row r="882">
          <cell r="D882">
            <v>1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R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BA882">
            <v>0</v>
          </cell>
          <cell r="BB882">
            <v>0</v>
          </cell>
          <cell r="BH882">
            <v>0</v>
          </cell>
          <cell r="BI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U882">
            <v>0</v>
          </cell>
          <cell r="BV882">
            <v>0</v>
          </cell>
          <cell r="BW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  <cell r="CN882">
            <v>0</v>
          </cell>
          <cell r="CO882">
            <v>0</v>
          </cell>
          <cell r="CP882">
            <v>0</v>
          </cell>
          <cell r="CS882">
            <v>0</v>
          </cell>
          <cell r="CU882">
            <v>0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B882">
            <v>0</v>
          </cell>
          <cell r="DC882">
            <v>0</v>
          </cell>
          <cell r="DD882">
            <v>0</v>
          </cell>
          <cell r="DE882">
            <v>0</v>
          </cell>
          <cell r="DF882">
            <v>0</v>
          </cell>
          <cell r="DG882">
            <v>0</v>
          </cell>
          <cell r="DH882">
            <v>0</v>
          </cell>
          <cell r="DL882">
            <v>0</v>
          </cell>
          <cell r="DM882">
            <v>0</v>
          </cell>
          <cell r="DO882">
            <v>0</v>
          </cell>
          <cell r="DQ882">
            <v>0</v>
          </cell>
          <cell r="DW882">
            <v>0</v>
          </cell>
          <cell r="DX882">
            <v>0</v>
          </cell>
          <cell r="DY882">
            <v>0</v>
          </cell>
          <cell r="DZ882">
            <v>0</v>
          </cell>
          <cell r="EA882">
            <v>0</v>
          </cell>
          <cell r="EB882">
            <v>0</v>
          </cell>
          <cell r="EC882">
            <v>0</v>
          </cell>
        </row>
        <row r="883"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R883">
            <v>0</v>
          </cell>
          <cell r="V883">
            <v>0</v>
          </cell>
          <cell r="W883">
            <v>0</v>
          </cell>
          <cell r="X883">
            <v>1</v>
          </cell>
          <cell r="Y883">
            <v>0</v>
          </cell>
          <cell r="Z883">
            <v>0</v>
          </cell>
          <cell r="AA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BA883">
            <v>0</v>
          </cell>
          <cell r="BB883">
            <v>0</v>
          </cell>
          <cell r="BH883">
            <v>0</v>
          </cell>
          <cell r="BI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U883">
            <v>0</v>
          </cell>
          <cell r="BV883">
            <v>0</v>
          </cell>
          <cell r="BW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  <cell r="CN883">
            <v>0</v>
          </cell>
          <cell r="CO883">
            <v>0</v>
          </cell>
          <cell r="CP883">
            <v>0</v>
          </cell>
          <cell r="CS883">
            <v>0</v>
          </cell>
          <cell r="CU883">
            <v>0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B883">
            <v>0</v>
          </cell>
          <cell r="DC883">
            <v>0</v>
          </cell>
          <cell r="DD883">
            <v>0</v>
          </cell>
          <cell r="DE883">
            <v>0</v>
          </cell>
          <cell r="DF883">
            <v>0</v>
          </cell>
          <cell r="DG883">
            <v>0</v>
          </cell>
          <cell r="DH883">
            <v>0</v>
          </cell>
          <cell r="DL883">
            <v>0</v>
          </cell>
          <cell r="DM883">
            <v>0</v>
          </cell>
          <cell r="DO883">
            <v>0</v>
          </cell>
          <cell r="DQ883">
            <v>0</v>
          </cell>
          <cell r="DW883">
            <v>0</v>
          </cell>
          <cell r="DX883">
            <v>0</v>
          </cell>
          <cell r="DY883">
            <v>0</v>
          </cell>
          <cell r="DZ883">
            <v>0</v>
          </cell>
          <cell r="EA883">
            <v>0</v>
          </cell>
          <cell r="EB883">
            <v>0</v>
          </cell>
          <cell r="EC883">
            <v>0</v>
          </cell>
        </row>
        <row r="884"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R884">
            <v>0</v>
          </cell>
          <cell r="V884">
            <v>2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BA884">
            <v>0</v>
          </cell>
          <cell r="BB884">
            <v>0</v>
          </cell>
          <cell r="BH884">
            <v>0</v>
          </cell>
          <cell r="BI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U884">
            <v>0</v>
          </cell>
          <cell r="BV884">
            <v>0</v>
          </cell>
          <cell r="BW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  <cell r="CN884">
            <v>0</v>
          </cell>
          <cell r="CO884">
            <v>0</v>
          </cell>
          <cell r="CP884">
            <v>0</v>
          </cell>
          <cell r="CS884">
            <v>0</v>
          </cell>
          <cell r="CU884">
            <v>0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B884">
            <v>0</v>
          </cell>
          <cell r="DC884">
            <v>0</v>
          </cell>
          <cell r="DD884">
            <v>0</v>
          </cell>
          <cell r="DE884">
            <v>0</v>
          </cell>
          <cell r="DF884">
            <v>0</v>
          </cell>
          <cell r="DG884">
            <v>0</v>
          </cell>
          <cell r="DH884">
            <v>0</v>
          </cell>
          <cell r="DL884">
            <v>0</v>
          </cell>
          <cell r="DM884">
            <v>0</v>
          </cell>
          <cell r="DO884">
            <v>0</v>
          </cell>
          <cell r="DQ884">
            <v>0</v>
          </cell>
          <cell r="DW884">
            <v>0</v>
          </cell>
          <cell r="DX884">
            <v>0</v>
          </cell>
          <cell r="DY884">
            <v>0</v>
          </cell>
          <cell r="DZ884">
            <v>0</v>
          </cell>
          <cell r="EA884">
            <v>0</v>
          </cell>
          <cell r="EB884">
            <v>0</v>
          </cell>
          <cell r="EC884">
            <v>0</v>
          </cell>
        </row>
        <row r="885"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1</v>
          </cell>
          <cell r="R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U885">
            <v>0</v>
          </cell>
          <cell r="AV885">
            <v>0</v>
          </cell>
          <cell r="AW885">
            <v>1</v>
          </cell>
          <cell r="AX885">
            <v>0</v>
          </cell>
          <cell r="AY885">
            <v>0</v>
          </cell>
          <cell r="BA885">
            <v>0</v>
          </cell>
          <cell r="BB885">
            <v>0</v>
          </cell>
          <cell r="BH885">
            <v>0</v>
          </cell>
          <cell r="BI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U885">
            <v>0</v>
          </cell>
          <cell r="BV885">
            <v>0</v>
          </cell>
          <cell r="BW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  <cell r="CN885">
            <v>0</v>
          </cell>
          <cell r="CO885">
            <v>0</v>
          </cell>
          <cell r="CP885">
            <v>0</v>
          </cell>
          <cell r="CS885">
            <v>0</v>
          </cell>
          <cell r="CU885">
            <v>0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B885">
            <v>0</v>
          </cell>
          <cell r="DC885">
            <v>0</v>
          </cell>
          <cell r="DD885">
            <v>0</v>
          </cell>
          <cell r="DE885">
            <v>0</v>
          </cell>
          <cell r="DF885">
            <v>0</v>
          </cell>
          <cell r="DG885">
            <v>0</v>
          </cell>
          <cell r="DH885">
            <v>0</v>
          </cell>
          <cell r="DL885">
            <v>0</v>
          </cell>
          <cell r="DM885">
            <v>0</v>
          </cell>
          <cell r="DO885">
            <v>0</v>
          </cell>
          <cell r="DQ885">
            <v>0</v>
          </cell>
          <cell r="DW885">
            <v>0</v>
          </cell>
          <cell r="DX885">
            <v>0</v>
          </cell>
          <cell r="DY885">
            <v>0</v>
          </cell>
          <cell r="DZ885">
            <v>0</v>
          </cell>
          <cell r="EA885">
            <v>0</v>
          </cell>
          <cell r="EB885">
            <v>0</v>
          </cell>
          <cell r="EC885">
            <v>0</v>
          </cell>
        </row>
        <row r="886"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R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BA886">
            <v>0</v>
          </cell>
          <cell r="BB886">
            <v>0</v>
          </cell>
          <cell r="BH886">
            <v>0</v>
          </cell>
          <cell r="BI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U886">
            <v>0</v>
          </cell>
          <cell r="BV886">
            <v>0</v>
          </cell>
          <cell r="BW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  <cell r="CN886">
            <v>0</v>
          </cell>
          <cell r="CO886">
            <v>0</v>
          </cell>
          <cell r="CP886">
            <v>0</v>
          </cell>
          <cell r="CS886">
            <v>0</v>
          </cell>
          <cell r="CU886">
            <v>0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B886">
            <v>0</v>
          </cell>
          <cell r="DC886">
            <v>0</v>
          </cell>
          <cell r="DD886">
            <v>0</v>
          </cell>
          <cell r="DE886">
            <v>0</v>
          </cell>
          <cell r="DF886">
            <v>0</v>
          </cell>
          <cell r="DG886">
            <v>0</v>
          </cell>
          <cell r="DH886">
            <v>0</v>
          </cell>
          <cell r="DL886">
            <v>0</v>
          </cell>
          <cell r="DM886">
            <v>0</v>
          </cell>
          <cell r="DO886">
            <v>0</v>
          </cell>
          <cell r="DQ886">
            <v>0</v>
          </cell>
          <cell r="DW886">
            <v>0</v>
          </cell>
          <cell r="DX886">
            <v>0</v>
          </cell>
          <cell r="DY886">
            <v>0</v>
          </cell>
          <cell r="DZ886">
            <v>0</v>
          </cell>
          <cell r="EA886">
            <v>0</v>
          </cell>
          <cell r="EB886">
            <v>0</v>
          </cell>
          <cell r="EC886">
            <v>0</v>
          </cell>
        </row>
        <row r="887"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R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BA887">
            <v>0</v>
          </cell>
          <cell r="BB887">
            <v>0</v>
          </cell>
          <cell r="BH887">
            <v>0</v>
          </cell>
          <cell r="BI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U887">
            <v>0</v>
          </cell>
          <cell r="BV887">
            <v>0</v>
          </cell>
          <cell r="BW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  <cell r="CN887">
            <v>0</v>
          </cell>
          <cell r="CO887">
            <v>0</v>
          </cell>
          <cell r="CP887">
            <v>0</v>
          </cell>
          <cell r="CS887">
            <v>0</v>
          </cell>
          <cell r="CU887">
            <v>0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B887">
            <v>0</v>
          </cell>
          <cell r="DC887">
            <v>0</v>
          </cell>
          <cell r="DD887">
            <v>0</v>
          </cell>
          <cell r="DE887">
            <v>0</v>
          </cell>
          <cell r="DF887">
            <v>0</v>
          </cell>
          <cell r="DG887">
            <v>0</v>
          </cell>
          <cell r="DH887">
            <v>0</v>
          </cell>
          <cell r="DL887">
            <v>0</v>
          </cell>
          <cell r="DM887">
            <v>0</v>
          </cell>
          <cell r="DO887">
            <v>0</v>
          </cell>
          <cell r="DQ887">
            <v>0</v>
          </cell>
          <cell r="DW887">
            <v>0</v>
          </cell>
          <cell r="DX887">
            <v>0</v>
          </cell>
          <cell r="DY887">
            <v>0</v>
          </cell>
          <cell r="DZ887">
            <v>0</v>
          </cell>
          <cell r="EA887">
            <v>0</v>
          </cell>
          <cell r="EB887">
            <v>0</v>
          </cell>
          <cell r="EC887">
            <v>0</v>
          </cell>
        </row>
        <row r="888"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1</v>
          </cell>
          <cell r="R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1</v>
          </cell>
          <cell r="AA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U888">
            <v>0</v>
          </cell>
          <cell r="AV888">
            <v>0</v>
          </cell>
          <cell r="AW888">
            <v>1</v>
          </cell>
          <cell r="AX888">
            <v>0</v>
          </cell>
          <cell r="AY888">
            <v>0</v>
          </cell>
          <cell r="BA888">
            <v>0</v>
          </cell>
          <cell r="BB888">
            <v>0</v>
          </cell>
          <cell r="BH888">
            <v>0</v>
          </cell>
          <cell r="BI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U888">
            <v>0</v>
          </cell>
          <cell r="BV888">
            <v>0</v>
          </cell>
          <cell r="BW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  <cell r="CN888">
            <v>0</v>
          </cell>
          <cell r="CO888">
            <v>0</v>
          </cell>
          <cell r="CP888">
            <v>0</v>
          </cell>
          <cell r="CS888">
            <v>0</v>
          </cell>
          <cell r="CU888">
            <v>0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B888">
            <v>0</v>
          </cell>
          <cell r="DC888">
            <v>0</v>
          </cell>
          <cell r="DD888">
            <v>0</v>
          </cell>
          <cell r="DE888">
            <v>0</v>
          </cell>
          <cell r="DF888">
            <v>0</v>
          </cell>
          <cell r="DG888">
            <v>0</v>
          </cell>
          <cell r="DH888">
            <v>0</v>
          </cell>
          <cell r="DL888">
            <v>0</v>
          </cell>
          <cell r="DM888">
            <v>0</v>
          </cell>
          <cell r="DO888">
            <v>0</v>
          </cell>
          <cell r="DQ888">
            <v>0</v>
          </cell>
          <cell r="DW888">
            <v>0</v>
          </cell>
          <cell r="DX888">
            <v>0</v>
          </cell>
          <cell r="DY888">
            <v>0</v>
          </cell>
          <cell r="DZ888">
            <v>0</v>
          </cell>
          <cell r="EA888">
            <v>0</v>
          </cell>
          <cell r="EB888">
            <v>0</v>
          </cell>
          <cell r="EC888">
            <v>0</v>
          </cell>
        </row>
        <row r="889"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R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BA889">
            <v>0</v>
          </cell>
          <cell r="BB889">
            <v>0</v>
          </cell>
          <cell r="BH889">
            <v>0</v>
          </cell>
          <cell r="BI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4</v>
          </cell>
          <cell r="BQ889">
            <v>0</v>
          </cell>
          <cell r="BR889">
            <v>0</v>
          </cell>
          <cell r="BS889">
            <v>0</v>
          </cell>
          <cell r="BU889">
            <v>0</v>
          </cell>
          <cell r="BV889">
            <v>0</v>
          </cell>
          <cell r="BW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  <cell r="CN889">
            <v>0</v>
          </cell>
          <cell r="CO889">
            <v>0</v>
          </cell>
          <cell r="CP889">
            <v>0</v>
          </cell>
          <cell r="CS889">
            <v>0</v>
          </cell>
          <cell r="CU889">
            <v>0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B889">
            <v>0</v>
          </cell>
          <cell r="DC889">
            <v>0</v>
          </cell>
          <cell r="DD889">
            <v>0</v>
          </cell>
          <cell r="DE889">
            <v>0</v>
          </cell>
          <cell r="DF889">
            <v>0</v>
          </cell>
          <cell r="DG889">
            <v>0</v>
          </cell>
          <cell r="DH889">
            <v>0</v>
          </cell>
          <cell r="DL889">
            <v>0</v>
          </cell>
          <cell r="DM889">
            <v>0</v>
          </cell>
          <cell r="DO889">
            <v>0</v>
          </cell>
          <cell r="DQ889">
            <v>0</v>
          </cell>
          <cell r="DW889">
            <v>0</v>
          </cell>
          <cell r="DX889">
            <v>0</v>
          </cell>
          <cell r="DY889">
            <v>0</v>
          </cell>
          <cell r="DZ889">
            <v>0</v>
          </cell>
          <cell r="EA889">
            <v>0</v>
          </cell>
          <cell r="EB889">
            <v>0</v>
          </cell>
          <cell r="EC889">
            <v>0</v>
          </cell>
        </row>
        <row r="890"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R890">
            <v>0</v>
          </cell>
          <cell r="V890">
            <v>1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BA890">
            <v>0</v>
          </cell>
          <cell r="BB890">
            <v>0</v>
          </cell>
          <cell r="BH890">
            <v>0</v>
          </cell>
          <cell r="BI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U890">
            <v>0</v>
          </cell>
          <cell r="BV890">
            <v>0</v>
          </cell>
          <cell r="BW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  <cell r="CN890">
            <v>0</v>
          </cell>
          <cell r="CO890">
            <v>0</v>
          </cell>
          <cell r="CP890">
            <v>0</v>
          </cell>
          <cell r="CS890">
            <v>0</v>
          </cell>
          <cell r="CU890">
            <v>0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B890">
            <v>0</v>
          </cell>
          <cell r="DC890">
            <v>0</v>
          </cell>
          <cell r="DD890">
            <v>0</v>
          </cell>
          <cell r="DE890">
            <v>0</v>
          </cell>
          <cell r="DF890">
            <v>0</v>
          </cell>
          <cell r="DG890">
            <v>0</v>
          </cell>
          <cell r="DH890">
            <v>0</v>
          </cell>
          <cell r="DL890">
            <v>0</v>
          </cell>
          <cell r="DM890">
            <v>0</v>
          </cell>
          <cell r="DO890">
            <v>0</v>
          </cell>
          <cell r="DQ890">
            <v>0</v>
          </cell>
          <cell r="DW890">
            <v>0</v>
          </cell>
          <cell r="DX890">
            <v>0</v>
          </cell>
          <cell r="DY890">
            <v>0</v>
          </cell>
          <cell r="DZ890">
            <v>0</v>
          </cell>
          <cell r="EA890">
            <v>0</v>
          </cell>
          <cell r="EB890">
            <v>0</v>
          </cell>
          <cell r="EC890">
            <v>0</v>
          </cell>
        </row>
        <row r="891"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R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4</v>
          </cell>
          <cell r="AA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N891">
            <v>0</v>
          </cell>
          <cell r="AO891">
            <v>0</v>
          </cell>
          <cell r="AP891">
            <v>3</v>
          </cell>
          <cell r="AQ891">
            <v>0</v>
          </cell>
          <cell r="AR891">
            <v>0</v>
          </cell>
          <cell r="AS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BA891">
            <v>3</v>
          </cell>
          <cell r="BB891">
            <v>4</v>
          </cell>
          <cell r="BH891">
            <v>0</v>
          </cell>
          <cell r="BI891">
            <v>0</v>
          </cell>
          <cell r="BL891">
            <v>3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U891">
            <v>0</v>
          </cell>
          <cell r="BV891">
            <v>0</v>
          </cell>
          <cell r="BW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  <cell r="CN891">
            <v>0</v>
          </cell>
          <cell r="CO891">
            <v>0</v>
          </cell>
          <cell r="CP891">
            <v>0</v>
          </cell>
          <cell r="CS891">
            <v>0</v>
          </cell>
          <cell r="CU891">
            <v>0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B891">
            <v>0</v>
          </cell>
          <cell r="DC891">
            <v>0</v>
          </cell>
          <cell r="DD891">
            <v>0</v>
          </cell>
          <cell r="DE891">
            <v>0</v>
          </cell>
          <cell r="DF891">
            <v>0</v>
          </cell>
          <cell r="DG891">
            <v>0</v>
          </cell>
          <cell r="DH891">
            <v>0</v>
          </cell>
          <cell r="DL891">
            <v>0</v>
          </cell>
          <cell r="DM891">
            <v>0</v>
          </cell>
          <cell r="DO891">
            <v>0</v>
          </cell>
          <cell r="DQ891">
            <v>0</v>
          </cell>
          <cell r="DW891">
            <v>0</v>
          </cell>
          <cell r="DX891">
            <v>0</v>
          </cell>
          <cell r="DY891">
            <v>0</v>
          </cell>
          <cell r="DZ891">
            <v>0</v>
          </cell>
          <cell r="EA891">
            <v>0</v>
          </cell>
          <cell r="EB891">
            <v>0</v>
          </cell>
          <cell r="EC891">
            <v>0</v>
          </cell>
        </row>
        <row r="892">
          <cell r="D892">
            <v>0</v>
          </cell>
          <cell r="E892">
            <v>1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R892">
            <v>0</v>
          </cell>
          <cell r="V892">
            <v>0</v>
          </cell>
          <cell r="W892">
            <v>0</v>
          </cell>
          <cell r="X892">
            <v>1</v>
          </cell>
          <cell r="Y892">
            <v>1</v>
          </cell>
          <cell r="Z892">
            <v>0</v>
          </cell>
          <cell r="AA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1</v>
          </cell>
          <cell r="AL892">
            <v>1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BA892">
            <v>0</v>
          </cell>
          <cell r="BB892">
            <v>0</v>
          </cell>
          <cell r="BH892">
            <v>0</v>
          </cell>
          <cell r="BI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U892">
            <v>0</v>
          </cell>
          <cell r="BV892">
            <v>0</v>
          </cell>
          <cell r="BW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  <cell r="CN892">
            <v>0</v>
          </cell>
          <cell r="CO892">
            <v>0</v>
          </cell>
          <cell r="CP892">
            <v>0</v>
          </cell>
          <cell r="CS892">
            <v>0</v>
          </cell>
          <cell r="CU892">
            <v>0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B892">
            <v>0</v>
          </cell>
          <cell r="DC892">
            <v>0</v>
          </cell>
          <cell r="DD892">
            <v>0</v>
          </cell>
          <cell r="DE892">
            <v>0</v>
          </cell>
          <cell r="DF892">
            <v>0</v>
          </cell>
          <cell r="DG892">
            <v>0</v>
          </cell>
          <cell r="DH892">
            <v>0</v>
          </cell>
          <cell r="DL892">
            <v>0</v>
          </cell>
          <cell r="DM892">
            <v>0</v>
          </cell>
          <cell r="DO892">
            <v>0</v>
          </cell>
          <cell r="DQ892">
            <v>0</v>
          </cell>
          <cell r="DW892">
            <v>0</v>
          </cell>
          <cell r="DX892">
            <v>0</v>
          </cell>
          <cell r="DY892">
            <v>0</v>
          </cell>
          <cell r="DZ892">
            <v>0</v>
          </cell>
          <cell r="EA892">
            <v>0</v>
          </cell>
          <cell r="EB892">
            <v>0</v>
          </cell>
          <cell r="EC892">
            <v>0</v>
          </cell>
        </row>
        <row r="893"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R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1</v>
          </cell>
          <cell r="AJ893">
            <v>0</v>
          </cell>
          <cell r="AK893">
            <v>0</v>
          </cell>
          <cell r="AL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BA893">
            <v>0</v>
          </cell>
          <cell r="BB893">
            <v>0</v>
          </cell>
          <cell r="BH893">
            <v>0</v>
          </cell>
          <cell r="BI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U893">
            <v>0</v>
          </cell>
          <cell r="BV893">
            <v>0</v>
          </cell>
          <cell r="BW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  <cell r="CN893">
            <v>0</v>
          </cell>
          <cell r="CO893">
            <v>0</v>
          </cell>
          <cell r="CP893">
            <v>0</v>
          </cell>
          <cell r="CS893">
            <v>0</v>
          </cell>
          <cell r="CU893">
            <v>0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B893">
            <v>0</v>
          </cell>
          <cell r="DC893">
            <v>0</v>
          </cell>
          <cell r="DD893">
            <v>0</v>
          </cell>
          <cell r="DE893">
            <v>0</v>
          </cell>
          <cell r="DF893">
            <v>0</v>
          </cell>
          <cell r="DG893">
            <v>0</v>
          </cell>
          <cell r="DH893">
            <v>0</v>
          </cell>
          <cell r="DL893">
            <v>0</v>
          </cell>
          <cell r="DM893">
            <v>0</v>
          </cell>
          <cell r="DO893">
            <v>0</v>
          </cell>
          <cell r="DQ893">
            <v>0</v>
          </cell>
          <cell r="DW893">
            <v>0</v>
          </cell>
          <cell r="DX893">
            <v>0</v>
          </cell>
          <cell r="DY893">
            <v>0</v>
          </cell>
          <cell r="DZ893">
            <v>0</v>
          </cell>
          <cell r="EA893">
            <v>0</v>
          </cell>
          <cell r="EB893">
            <v>0</v>
          </cell>
          <cell r="EC893">
            <v>0</v>
          </cell>
        </row>
        <row r="894"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R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16</v>
          </cell>
          <cell r="AJ894">
            <v>0</v>
          </cell>
          <cell r="AK894">
            <v>0</v>
          </cell>
          <cell r="AL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BA894">
            <v>0</v>
          </cell>
          <cell r="BB894">
            <v>0</v>
          </cell>
          <cell r="BH894">
            <v>0</v>
          </cell>
          <cell r="BI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4</v>
          </cell>
          <cell r="BQ894">
            <v>0</v>
          </cell>
          <cell r="BR894">
            <v>0</v>
          </cell>
          <cell r="BS894">
            <v>0</v>
          </cell>
          <cell r="BU894">
            <v>0</v>
          </cell>
          <cell r="BV894">
            <v>0</v>
          </cell>
          <cell r="BW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  <cell r="CN894">
            <v>0</v>
          </cell>
          <cell r="CO894">
            <v>0</v>
          </cell>
          <cell r="CP894">
            <v>0</v>
          </cell>
          <cell r="CS894">
            <v>0</v>
          </cell>
          <cell r="CU894">
            <v>0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B894">
            <v>0</v>
          </cell>
          <cell r="DC894">
            <v>0</v>
          </cell>
          <cell r="DD894">
            <v>0</v>
          </cell>
          <cell r="DE894">
            <v>0</v>
          </cell>
          <cell r="DF894">
            <v>0</v>
          </cell>
          <cell r="DG894">
            <v>0</v>
          </cell>
          <cell r="DH894">
            <v>0</v>
          </cell>
          <cell r="DL894">
            <v>0</v>
          </cell>
          <cell r="DM894">
            <v>0</v>
          </cell>
          <cell r="DO894">
            <v>0</v>
          </cell>
          <cell r="DQ894">
            <v>0</v>
          </cell>
          <cell r="DW894">
            <v>0</v>
          </cell>
          <cell r="DX894">
            <v>0</v>
          </cell>
          <cell r="DY894">
            <v>0</v>
          </cell>
          <cell r="DZ894">
            <v>0</v>
          </cell>
          <cell r="EA894">
            <v>0</v>
          </cell>
          <cell r="EB894">
            <v>0</v>
          </cell>
          <cell r="EC894">
            <v>0</v>
          </cell>
        </row>
        <row r="895"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R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BA895">
            <v>0</v>
          </cell>
          <cell r="BB895">
            <v>0</v>
          </cell>
          <cell r="BH895">
            <v>0</v>
          </cell>
          <cell r="BI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U895">
            <v>0</v>
          </cell>
          <cell r="BV895">
            <v>0</v>
          </cell>
          <cell r="BW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  <cell r="CN895">
            <v>0</v>
          </cell>
          <cell r="CO895">
            <v>0</v>
          </cell>
          <cell r="CP895">
            <v>0</v>
          </cell>
          <cell r="CS895">
            <v>0</v>
          </cell>
          <cell r="CU895">
            <v>0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B895">
            <v>0</v>
          </cell>
          <cell r="DC895">
            <v>0</v>
          </cell>
          <cell r="DD895">
            <v>0</v>
          </cell>
          <cell r="DE895">
            <v>0</v>
          </cell>
          <cell r="DF895">
            <v>0</v>
          </cell>
          <cell r="DG895">
            <v>0</v>
          </cell>
          <cell r="DH895">
            <v>0</v>
          </cell>
          <cell r="DL895">
            <v>0</v>
          </cell>
          <cell r="DM895">
            <v>0</v>
          </cell>
          <cell r="DO895">
            <v>0</v>
          </cell>
          <cell r="DQ895">
            <v>0</v>
          </cell>
          <cell r="DW895">
            <v>0</v>
          </cell>
          <cell r="DX895">
            <v>0</v>
          </cell>
          <cell r="DY895">
            <v>0</v>
          </cell>
          <cell r="DZ895">
            <v>0</v>
          </cell>
          <cell r="EA895">
            <v>0</v>
          </cell>
          <cell r="EB895">
            <v>0</v>
          </cell>
          <cell r="EC895">
            <v>0</v>
          </cell>
        </row>
        <row r="896"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R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BA896">
            <v>0</v>
          </cell>
          <cell r="BB896">
            <v>0</v>
          </cell>
          <cell r="BH896">
            <v>0</v>
          </cell>
          <cell r="BI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U896">
            <v>0</v>
          </cell>
          <cell r="BV896">
            <v>0</v>
          </cell>
          <cell r="BW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  <cell r="CN896">
            <v>0</v>
          </cell>
          <cell r="CO896">
            <v>0</v>
          </cell>
          <cell r="CP896">
            <v>0</v>
          </cell>
          <cell r="CS896">
            <v>0</v>
          </cell>
          <cell r="CU896">
            <v>0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B896">
            <v>0</v>
          </cell>
          <cell r="DC896">
            <v>0</v>
          </cell>
          <cell r="DD896">
            <v>0</v>
          </cell>
          <cell r="DE896">
            <v>0</v>
          </cell>
          <cell r="DF896">
            <v>0</v>
          </cell>
          <cell r="DG896">
            <v>0</v>
          </cell>
          <cell r="DH896">
            <v>0</v>
          </cell>
          <cell r="DL896">
            <v>0</v>
          </cell>
          <cell r="DM896">
            <v>0</v>
          </cell>
          <cell r="DO896">
            <v>0</v>
          </cell>
          <cell r="DQ896">
            <v>0</v>
          </cell>
          <cell r="DW896">
            <v>0</v>
          </cell>
          <cell r="DX896">
            <v>0</v>
          </cell>
          <cell r="DY896">
            <v>0</v>
          </cell>
          <cell r="DZ896">
            <v>0</v>
          </cell>
          <cell r="EA896">
            <v>0</v>
          </cell>
          <cell r="EB896">
            <v>0</v>
          </cell>
          <cell r="EC896">
            <v>0</v>
          </cell>
        </row>
        <row r="897"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R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BA897">
            <v>0</v>
          </cell>
          <cell r="BB897">
            <v>0</v>
          </cell>
          <cell r="BH897">
            <v>0</v>
          </cell>
          <cell r="BI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U897">
            <v>0</v>
          </cell>
          <cell r="BV897">
            <v>0</v>
          </cell>
          <cell r="BW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  <cell r="CN897">
            <v>0</v>
          </cell>
          <cell r="CO897">
            <v>0</v>
          </cell>
          <cell r="CP897">
            <v>0</v>
          </cell>
          <cell r="CS897">
            <v>0</v>
          </cell>
          <cell r="CU897">
            <v>0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B897">
            <v>0</v>
          </cell>
          <cell r="DC897">
            <v>0</v>
          </cell>
          <cell r="DD897">
            <v>0</v>
          </cell>
          <cell r="DE897">
            <v>0</v>
          </cell>
          <cell r="DF897">
            <v>0</v>
          </cell>
          <cell r="DG897">
            <v>0</v>
          </cell>
          <cell r="DH897">
            <v>0</v>
          </cell>
          <cell r="DL897">
            <v>0</v>
          </cell>
          <cell r="DM897">
            <v>0</v>
          </cell>
          <cell r="DO897">
            <v>0</v>
          </cell>
          <cell r="DQ897">
            <v>0</v>
          </cell>
          <cell r="DW897">
            <v>0</v>
          </cell>
          <cell r="DX897">
            <v>0</v>
          </cell>
          <cell r="DY897">
            <v>0</v>
          </cell>
          <cell r="DZ897">
            <v>0</v>
          </cell>
          <cell r="EA897">
            <v>0</v>
          </cell>
          <cell r="EB897">
            <v>0</v>
          </cell>
          <cell r="EC897">
            <v>0</v>
          </cell>
        </row>
        <row r="898"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R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BA898">
            <v>0</v>
          </cell>
          <cell r="BB898">
            <v>0</v>
          </cell>
          <cell r="BH898">
            <v>0</v>
          </cell>
          <cell r="BI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U898">
            <v>0</v>
          </cell>
          <cell r="BV898">
            <v>0</v>
          </cell>
          <cell r="BW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  <cell r="CN898">
            <v>0</v>
          </cell>
          <cell r="CO898">
            <v>0</v>
          </cell>
          <cell r="CP898">
            <v>0</v>
          </cell>
          <cell r="CS898">
            <v>0</v>
          </cell>
          <cell r="CU898">
            <v>0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B898">
            <v>0</v>
          </cell>
          <cell r="DC898">
            <v>0</v>
          </cell>
          <cell r="DD898">
            <v>0</v>
          </cell>
          <cell r="DE898">
            <v>0</v>
          </cell>
          <cell r="DF898">
            <v>0</v>
          </cell>
          <cell r="DG898">
            <v>0</v>
          </cell>
          <cell r="DH898">
            <v>0</v>
          </cell>
          <cell r="DL898">
            <v>0</v>
          </cell>
          <cell r="DM898">
            <v>0</v>
          </cell>
          <cell r="DO898">
            <v>0</v>
          </cell>
          <cell r="DQ898">
            <v>0</v>
          </cell>
          <cell r="DW898">
            <v>0</v>
          </cell>
          <cell r="DX898">
            <v>0</v>
          </cell>
          <cell r="DY898">
            <v>0</v>
          </cell>
          <cell r="DZ898">
            <v>0</v>
          </cell>
          <cell r="EA898">
            <v>0</v>
          </cell>
          <cell r="EB898">
            <v>0</v>
          </cell>
          <cell r="EC898">
            <v>0</v>
          </cell>
        </row>
        <row r="899"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R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N899">
            <v>0</v>
          </cell>
          <cell r="AO899">
            <v>0</v>
          </cell>
          <cell r="AP899">
            <v>4</v>
          </cell>
          <cell r="AQ899">
            <v>0</v>
          </cell>
          <cell r="AR899">
            <v>0</v>
          </cell>
          <cell r="AS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BA899">
            <v>0</v>
          </cell>
          <cell r="BB899">
            <v>0</v>
          </cell>
          <cell r="BH899">
            <v>0</v>
          </cell>
          <cell r="BI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U899">
            <v>0</v>
          </cell>
          <cell r="BV899">
            <v>0</v>
          </cell>
          <cell r="BW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  <cell r="CN899">
            <v>0</v>
          </cell>
          <cell r="CO899">
            <v>0</v>
          </cell>
          <cell r="CP899">
            <v>0</v>
          </cell>
          <cell r="CS899">
            <v>0</v>
          </cell>
          <cell r="CU899">
            <v>0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B899">
            <v>0</v>
          </cell>
          <cell r="DC899">
            <v>0</v>
          </cell>
          <cell r="DD899">
            <v>0</v>
          </cell>
          <cell r="DE899">
            <v>0</v>
          </cell>
          <cell r="DF899">
            <v>0</v>
          </cell>
          <cell r="DG899">
            <v>0</v>
          </cell>
          <cell r="DH899">
            <v>0</v>
          </cell>
          <cell r="DL899">
            <v>0</v>
          </cell>
          <cell r="DM899">
            <v>0</v>
          </cell>
          <cell r="DO899">
            <v>0</v>
          </cell>
          <cell r="DQ899">
            <v>0</v>
          </cell>
          <cell r="DW899">
            <v>0</v>
          </cell>
          <cell r="DX899">
            <v>0</v>
          </cell>
          <cell r="DY899">
            <v>0</v>
          </cell>
          <cell r="DZ899">
            <v>0</v>
          </cell>
          <cell r="EA899">
            <v>0</v>
          </cell>
          <cell r="EB899">
            <v>0</v>
          </cell>
          <cell r="EC899">
            <v>0</v>
          </cell>
        </row>
        <row r="900"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R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BA900">
            <v>0</v>
          </cell>
          <cell r="BB900">
            <v>0</v>
          </cell>
          <cell r="BH900">
            <v>0</v>
          </cell>
          <cell r="BI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U900">
            <v>0</v>
          </cell>
          <cell r="BV900">
            <v>0</v>
          </cell>
          <cell r="BW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  <cell r="CN900">
            <v>0</v>
          </cell>
          <cell r="CO900">
            <v>0</v>
          </cell>
          <cell r="CP900">
            <v>0</v>
          </cell>
          <cell r="CS900">
            <v>0</v>
          </cell>
          <cell r="CU900">
            <v>0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B900">
            <v>0</v>
          </cell>
          <cell r="DC900">
            <v>0</v>
          </cell>
          <cell r="DD900">
            <v>0</v>
          </cell>
          <cell r="DE900">
            <v>0</v>
          </cell>
          <cell r="DF900">
            <v>0</v>
          </cell>
          <cell r="DG900">
            <v>0</v>
          </cell>
          <cell r="DH900">
            <v>0</v>
          </cell>
          <cell r="DL900">
            <v>0</v>
          </cell>
          <cell r="DM900">
            <v>0</v>
          </cell>
          <cell r="DO900">
            <v>0</v>
          </cell>
          <cell r="DQ900">
            <v>0</v>
          </cell>
          <cell r="DW900">
            <v>0</v>
          </cell>
          <cell r="DX900">
            <v>0</v>
          </cell>
          <cell r="DY900">
            <v>0</v>
          </cell>
          <cell r="DZ900">
            <v>0</v>
          </cell>
          <cell r="EA900">
            <v>0</v>
          </cell>
          <cell r="EB900">
            <v>0</v>
          </cell>
          <cell r="EC900">
            <v>0</v>
          </cell>
        </row>
        <row r="901"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R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BA901">
            <v>0</v>
          </cell>
          <cell r="BB901">
            <v>0</v>
          </cell>
          <cell r="BH901">
            <v>0</v>
          </cell>
          <cell r="BI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U901">
            <v>0</v>
          </cell>
          <cell r="BV901">
            <v>0</v>
          </cell>
          <cell r="BW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  <cell r="CN901">
            <v>0</v>
          </cell>
          <cell r="CO901">
            <v>0</v>
          </cell>
          <cell r="CP901">
            <v>0</v>
          </cell>
          <cell r="CS901">
            <v>0</v>
          </cell>
          <cell r="CU901">
            <v>0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B901">
            <v>0</v>
          </cell>
          <cell r="DC901">
            <v>0</v>
          </cell>
          <cell r="DD901">
            <v>0</v>
          </cell>
          <cell r="DE901">
            <v>0</v>
          </cell>
          <cell r="DF901">
            <v>0</v>
          </cell>
          <cell r="DG901">
            <v>0</v>
          </cell>
          <cell r="DH901">
            <v>0</v>
          </cell>
          <cell r="DL901">
            <v>0</v>
          </cell>
          <cell r="DM901">
            <v>0</v>
          </cell>
          <cell r="DO901">
            <v>0</v>
          </cell>
          <cell r="DQ901">
            <v>0</v>
          </cell>
          <cell r="DW901">
            <v>0</v>
          </cell>
          <cell r="DX901">
            <v>0</v>
          </cell>
          <cell r="DY901">
            <v>0</v>
          </cell>
          <cell r="DZ901">
            <v>0</v>
          </cell>
          <cell r="EA901">
            <v>0</v>
          </cell>
          <cell r="EB901">
            <v>0</v>
          </cell>
          <cell r="EC901">
            <v>0</v>
          </cell>
        </row>
        <row r="902"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R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BA902">
            <v>0</v>
          </cell>
          <cell r="BB902">
            <v>0</v>
          </cell>
          <cell r="BH902">
            <v>0</v>
          </cell>
          <cell r="BI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U902">
            <v>0</v>
          </cell>
          <cell r="BV902">
            <v>0</v>
          </cell>
          <cell r="BW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  <cell r="CN902">
            <v>0</v>
          </cell>
          <cell r="CO902">
            <v>0</v>
          </cell>
          <cell r="CP902">
            <v>0</v>
          </cell>
          <cell r="CS902">
            <v>0</v>
          </cell>
          <cell r="CU902">
            <v>0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B902">
            <v>0</v>
          </cell>
          <cell r="DC902">
            <v>0</v>
          </cell>
          <cell r="DD902">
            <v>0</v>
          </cell>
          <cell r="DE902">
            <v>0</v>
          </cell>
          <cell r="DF902">
            <v>0</v>
          </cell>
          <cell r="DG902">
            <v>0</v>
          </cell>
          <cell r="DH902">
            <v>0</v>
          </cell>
          <cell r="DL902">
            <v>0</v>
          </cell>
          <cell r="DM902">
            <v>0</v>
          </cell>
          <cell r="DO902">
            <v>0</v>
          </cell>
          <cell r="DQ902">
            <v>0</v>
          </cell>
          <cell r="DW902">
            <v>0</v>
          </cell>
          <cell r="DX902">
            <v>0</v>
          </cell>
          <cell r="DY902">
            <v>0</v>
          </cell>
          <cell r="DZ902">
            <v>0</v>
          </cell>
          <cell r="EA902">
            <v>0</v>
          </cell>
          <cell r="EB902">
            <v>0</v>
          </cell>
          <cell r="EC902">
            <v>0</v>
          </cell>
        </row>
        <row r="903"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R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BA903">
            <v>0</v>
          </cell>
          <cell r="BB903">
            <v>0</v>
          </cell>
          <cell r="BH903">
            <v>0</v>
          </cell>
          <cell r="BI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2</v>
          </cell>
          <cell r="BQ903">
            <v>0</v>
          </cell>
          <cell r="BR903">
            <v>0</v>
          </cell>
          <cell r="BS903">
            <v>0</v>
          </cell>
          <cell r="BU903">
            <v>0</v>
          </cell>
          <cell r="BV903">
            <v>0</v>
          </cell>
          <cell r="BW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  <cell r="CN903">
            <v>0</v>
          </cell>
          <cell r="CO903">
            <v>0</v>
          </cell>
          <cell r="CP903">
            <v>0</v>
          </cell>
          <cell r="CS903">
            <v>0</v>
          </cell>
          <cell r="CU903">
            <v>0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B903">
            <v>0</v>
          </cell>
          <cell r="DC903">
            <v>0</v>
          </cell>
          <cell r="DD903">
            <v>0</v>
          </cell>
          <cell r="DE903">
            <v>0</v>
          </cell>
          <cell r="DF903">
            <v>0</v>
          </cell>
          <cell r="DG903">
            <v>0</v>
          </cell>
          <cell r="DH903">
            <v>0</v>
          </cell>
          <cell r="DL903">
            <v>0</v>
          </cell>
          <cell r="DM903">
            <v>0</v>
          </cell>
          <cell r="DO903">
            <v>0</v>
          </cell>
          <cell r="DQ903">
            <v>0</v>
          </cell>
          <cell r="DW903">
            <v>0</v>
          </cell>
          <cell r="DX903">
            <v>0</v>
          </cell>
          <cell r="DY903">
            <v>0</v>
          </cell>
          <cell r="DZ903">
            <v>0</v>
          </cell>
          <cell r="EA903">
            <v>0</v>
          </cell>
          <cell r="EB903">
            <v>0</v>
          </cell>
          <cell r="EC903">
            <v>0</v>
          </cell>
        </row>
        <row r="904"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R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BA904">
            <v>1</v>
          </cell>
          <cell r="BB904">
            <v>1</v>
          </cell>
          <cell r="BH904">
            <v>0</v>
          </cell>
          <cell r="BI904">
            <v>0</v>
          </cell>
          <cell r="BL904">
            <v>1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U904">
            <v>0</v>
          </cell>
          <cell r="BV904">
            <v>0</v>
          </cell>
          <cell r="BW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  <cell r="CN904">
            <v>0</v>
          </cell>
          <cell r="CO904">
            <v>0</v>
          </cell>
          <cell r="CP904">
            <v>0</v>
          </cell>
          <cell r="CS904">
            <v>0</v>
          </cell>
          <cell r="CU904">
            <v>0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B904">
            <v>0</v>
          </cell>
          <cell r="DC904">
            <v>0</v>
          </cell>
          <cell r="DD904">
            <v>0</v>
          </cell>
          <cell r="DE904">
            <v>0</v>
          </cell>
          <cell r="DF904">
            <v>0</v>
          </cell>
          <cell r="DG904">
            <v>0</v>
          </cell>
          <cell r="DH904">
            <v>0</v>
          </cell>
          <cell r="DL904">
            <v>0</v>
          </cell>
          <cell r="DM904">
            <v>0</v>
          </cell>
          <cell r="DO904">
            <v>0</v>
          </cell>
          <cell r="DQ904">
            <v>0</v>
          </cell>
          <cell r="DW904">
            <v>0</v>
          </cell>
          <cell r="DX904">
            <v>0</v>
          </cell>
          <cell r="DY904">
            <v>0</v>
          </cell>
          <cell r="DZ904">
            <v>0</v>
          </cell>
          <cell r="EA904">
            <v>0</v>
          </cell>
          <cell r="EB904">
            <v>0</v>
          </cell>
          <cell r="EC904">
            <v>0</v>
          </cell>
        </row>
        <row r="905"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R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BA905">
            <v>0</v>
          </cell>
          <cell r="BB905">
            <v>0</v>
          </cell>
          <cell r="BH905">
            <v>0</v>
          </cell>
          <cell r="BI905">
            <v>0</v>
          </cell>
          <cell r="BL905">
            <v>0</v>
          </cell>
          <cell r="BM905">
            <v>4</v>
          </cell>
          <cell r="BN905">
            <v>4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U905">
            <v>0</v>
          </cell>
          <cell r="BV905">
            <v>0</v>
          </cell>
          <cell r="BW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  <cell r="CN905">
            <v>0</v>
          </cell>
          <cell r="CO905">
            <v>0</v>
          </cell>
          <cell r="CP905">
            <v>0</v>
          </cell>
          <cell r="CS905">
            <v>0</v>
          </cell>
          <cell r="CU905">
            <v>0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B905">
            <v>0</v>
          </cell>
          <cell r="DC905">
            <v>0</v>
          </cell>
          <cell r="DD905">
            <v>0</v>
          </cell>
          <cell r="DE905">
            <v>0</v>
          </cell>
          <cell r="DF905">
            <v>0</v>
          </cell>
          <cell r="DG905">
            <v>0</v>
          </cell>
          <cell r="DH905">
            <v>0</v>
          </cell>
          <cell r="DL905">
            <v>0</v>
          </cell>
          <cell r="DM905">
            <v>0</v>
          </cell>
          <cell r="DO905">
            <v>0</v>
          </cell>
          <cell r="DQ905">
            <v>0</v>
          </cell>
          <cell r="DW905">
            <v>0</v>
          </cell>
          <cell r="DX905">
            <v>0</v>
          </cell>
          <cell r="DY905">
            <v>0</v>
          </cell>
          <cell r="DZ905">
            <v>0</v>
          </cell>
          <cell r="EA905">
            <v>0</v>
          </cell>
          <cell r="EB905">
            <v>0</v>
          </cell>
          <cell r="EC905">
            <v>0</v>
          </cell>
        </row>
        <row r="906"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R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BA906">
            <v>0</v>
          </cell>
          <cell r="BB906">
            <v>0</v>
          </cell>
          <cell r="BH906">
            <v>0</v>
          </cell>
          <cell r="BI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U906">
            <v>0</v>
          </cell>
          <cell r="BV906">
            <v>0</v>
          </cell>
          <cell r="BW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  <cell r="CN906">
            <v>0</v>
          </cell>
          <cell r="CO906">
            <v>0</v>
          </cell>
          <cell r="CP906">
            <v>0</v>
          </cell>
          <cell r="CS906">
            <v>0</v>
          </cell>
          <cell r="CU906">
            <v>0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B906">
            <v>0</v>
          </cell>
          <cell r="DC906">
            <v>0</v>
          </cell>
          <cell r="DD906">
            <v>0</v>
          </cell>
          <cell r="DE906">
            <v>0</v>
          </cell>
          <cell r="DF906">
            <v>0</v>
          </cell>
          <cell r="DG906">
            <v>0</v>
          </cell>
          <cell r="DH906">
            <v>0</v>
          </cell>
          <cell r="DL906">
            <v>0</v>
          </cell>
          <cell r="DM906">
            <v>0</v>
          </cell>
          <cell r="DO906">
            <v>0</v>
          </cell>
          <cell r="DQ906">
            <v>0</v>
          </cell>
          <cell r="DW906">
            <v>1</v>
          </cell>
          <cell r="DX906">
            <v>0</v>
          </cell>
          <cell r="DY906">
            <v>1</v>
          </cell>
          <cell r="DZ906">
            <v>0</v>
          </cell>
          <cell r="EA906">
            <v>0</v>
          </cell>
          <cell r="EB906">
            <v>0</v>
          </cell>
          <cell r="EC906">
            <v>0</v>
          </cell>
        </row>
        <row r="907"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1</v>
          </cell>
          <cell r="R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U907">
            <v>0</v>
          </cell>
          <cell r="AV907">
            <v>0</v>
          </cell>
          <cell r="AW907">
            <v>1</v>
          </cell>
          <cell r="AX907">
            <v>0</v>
          </cell>
          <cell r="AY907">
            <v>0</v>
          </cell>
          <cell r="BA907">
            <v>0</v>
          </cell>
          <cell r="BB907">
            <v>0</v>
          </cell>
          <cell r="BH907">
            <v>0</v>
          </cell>
          <cell r="BI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U907">
            <v>0</v>
          </cell>
          <cell r="BV907">
            <v>0</v>
          </cell>
          <cell r="BW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  <cell r="CN907">
            <v>0</v>
          </cell>
          <cell r="CO907">
            <v>0</v>
          </cell>
          <cell r="CP907">
            <v>0</v>
          </cell>
          <cell r="CS907">
            <v>0</v>
          </cell>
          <cell r="CU907">
            <v>0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B907">
            <v>0</v>
          </cell>
          <cell r="DC907">
            <v>0</v>
          </cell>
          <cell r="DD907">
            <v>0</v>
          </cell>
          <cell r="DE907">
            <v>0</v>
          </cell>
          <cell r="DF907">
            <v>0</v>
          </cell>
          <cell r="DG907">
            <v>0</v>
          </cell>
          <cell r="DH907">
            <v>0</v>
          </cell>
          <cell r="DL907">
            <v>0</v>
          </cell>
          <cell r="DM907">
            <v>0</v>
          </cell>
          <cell r="DO907">
            <v>0</v>
          </cell>
          <cell r="DQ907">
            <v>0</v>
          </cell>
          <cell r="DW907">
            <v>0</v>
          </cell>
          <cell r="DX907">
            <v>0</v>
          </cell>
          <cell r="DY907">
            <v>0</v>
          </cell>
          <cell r="DZ907">
            <v>0</v>
          </cell>
          <cell r="EA907">
            <v>0</v>
          </cell>
          <cell r="EB907">
            <v>0</v>
          </cell>
          <cell r="EC907">
            <v>0</v>
          </cell>
        </row>
        <row r="908"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R908">
            <v>0</v>
          </cell>
          <cell r="V908">
            <v>0</v>
          </cell>
          <cell r="W908">
            <v>3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BA908">
            <v>0</v>
          </cell>
          <cell r="BB908">
            <v>0</v>
          </cell>
          <cell r="BH908">
            <v>0</v>
          </cell>
          <cell r="BI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U908">
            <v>0</v>
          </cell>
          <cell r="BV908">
            <v>0</v>
          </cell>
          <cell r="BW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  <cell r="CN908">
            <v>0</v>
          </cell>
          <cell r="CO908">
            <v>0</v>
          </cell>
          <cell r="CP908">
            <v>0</v>
          </cell>
          <cell r="CS908">
            <v>0</v>
          </cell>
          <cell r="CU908">
            <v>0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B908">
            <v>0</v>
          </cell>
          <cell r="DC908">
            <v>0</v>
          </cell>
          <cell r="DD908">
            <v>0</v>
          </cell>
          <cell r="DE908">
            <v>0</v>
          </cell>
          <cell r="DF908">
            <v>1</v>
          </cell>
          <cell r="DG908">
            <v>0</v>
          </cell>
          <cell r="DH908">
            <v>2</v>
          </cell>
          <cell r="DL908">
            <v>0</v>
          </cell>
          <cell r="DM908">
            <v>0</v>
          </cell>
          <cell r="DO908">
            <v>0</v>
          </cell>
          <cell r="DQ908">
            <v>0</v>
          </cell>
          <cell r="DW908">
            <v>0</v>
          </cell>
          <cell r="DX908">
            <v>0</v>
          </cell>
          <cell r="DY908">
            <v>0</v>
          </cell>
          <cell r="DZ908">
            <v>0</v>
          </cell>
          <cell r="EA908">
            <v>0</v>
          </cell>
          <cell r="EB908">
            <v>0</v>
          </cell>
          <cell r="EC908">
            <v>0</v>
          </cell>
        </row>
        <row r="909"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R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BA909">
            <v>0</v>
          </cell>
          <cell r="BB909">
            <v>0</v>
          </cell>
          <cell r="BH909">
            <v>0</v>
          </cell>
          <cell r="BI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U909">
            <v>0</v>
          </cell>
          <cell r="BV909">
            <v>0</v>
          </cell>
          <cell r="BW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  <cell r="CN909">
            <v>0</v>
          </cell>
          <cell r="CO909">
            <v>0</v>
          </cell>
          <cell r="CP909">
            <v>0</v>
          </cell>
          <cell r="CS909">
            <v>0</v>
          </cell>
          <cell r="CU909">
            <v>0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B909">
            <v>0</v>
          </cell>
          <cell r="DC909">
            <v>0</v>
          </cell>
          <cell r="DD909">
            <v>0</v>
          </cell>
          <cell r="DE909">
            <v>0</v>
          </cell>
          <cell r="DF909">
            <v>0</v>
          </cell>
          <cell r="DG909">
            <v>0</v>
          </cell>
          <cell r="DH909">
            <v>0</v>
          </cell>
          <cell r="DL909">
            <v>0</v>
          </cell>
          <cell r="DM909">
            <v>0</v>
          </cell>
          <cell r="DO909">
            <v>0</v>
          </cell>
          <cell r="DQ909">
            <v>0</v>
          </cell>
          <cell r="DW909">
            <v>0</v>
          </cell>
          <cell r="DX909">
            <v>0</v>
          </cell>
          <cell r="DY909">
            <v>0</v>
          </cell>
          <cell r="DZ909">
            <v>0</v>
          </cell>
          <cell r="EA909">
            <v>0</v>
          </cell>
          <cell r="EB909">
            <v>0</v>
          </cell>
          <cell r="EC909">
            <v>0</v>
          </cell>
        </row>
        <row r="910"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R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E910">
            <v>1</v>
          </cell>
          <cell r="AF910">
            <v>1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BA910">
            <v>0</v>
          </cell>
          <cell r="BB910">
            <v>0</v>
          </cell>
          <cell r="BH910">
            <v>0</v>
          </cell>
          <cell r="BI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U910">
            <v>0</v>
          </cell>
          <cell r="BV910">
            <v>0</v>
          </cell>
          <cell r="BW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  <cell r="CN910">
            <v>0</v>
          </cell>
          <cell r="CO910">
            <v>0</v>
          </cell>
          <cell r="CP910">
            <v>0</v>
          </cell>
          <cell r="CS910">
            <v>0</v>
          </cell>
          <cell r="CU910">
            <v>0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B910">
            <v>0</v>
          </cell>
          <cell r="DC910">
            <v>0</v>
          </cell>
          <cell r="DD910">
            <v>0</v>
          </cell>
          <cell r="DE910">
            <v>0</v>
          </cell>
          <cell r="DF910">
            <v>0</v>
          </cell>
          <cell r="DG910">
            <v>0</v>
          </cell>
          <cell r="DH910">
            <v>0</v>
          </cell>
          <cell r="DL910">
            <v>0</v>
          </cell>
          <cell r="DM910">
            <v>0</v>
          </cell>
          <cell r="DO910">
            <v>0</v>
          </cell>
          <cell r="DQ910">
            <v>0</v>
          </cell>
          <cell r="DW910">
            <v>0</v>
          </cell>
          <cell r="DX910">
            <v>0</v>
          </cell>
          <cell r="DY910">
            <v>0</v>
          </cell>
          <cell r="DZ910">
            <v>0</v>
          </cell>
          <cell r="EA910">
            <v>0</v>
          </cell>
          <cell r="EB910">
            <v>0</v>
          </cell>
          <cell r="EC910">
            <v>0</v>
          </cell>
        </row>
        <row r="911"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R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BA911">
            <v>0</v>
          </cell>
          <cell r="BB911">
            <v>0</v>
          </cell>
          <cell r="BH911">
            <v>0</v>
          </cell>
          <cell r="BI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U911">
            <v>0</v>
          </cell>
          <cell r="BV911">
            <v>0</v>
          </cell>
          <cell r="BW911">
            <v>0</v>
          </cell>
          <cell r="BZ911">
            <v>0</v>
          </cell>
          <cell r="CA911">
            <v>2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  <cell r="CN911">
            <v>0</v>
          </cell>
          <cell r="CO911">
            <v>0</v>
          </cell>
          <cell r="CP911">
            <v>0</v>
          </cell>
          <cell r="CS911">
            <v>0</v>
          </cell>
          <cell r="CU911">
            <v>0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B911">
            <v>0</v>
          </cell>
          <cell r="DC911">
            <v>0</v>
          </cell>
          <cell r="DD911">
            <v>0</v>
          </cell>
          <cell r="DE911">
            <v>0</v>
          </cell>
          <cell r="DF911">
            <v>0</v>
          </cell>
          <cell r="DG911">
            <v>0</v>
          </cell>
          <cell r="DH911">
            <v>0</v>
          </cell>
          <cell r="DL911">
            <v>0</v>
          </cell>
          <cell r="DM911">
            <v>0</v>
          </cell>
          <cell r="DO911">
            <v>0</v>
          </cell>
          <cell r="DQ911">
            <v>0</v>
          </cell>
          <cell r="DW911">
            <v>0</v>
          </cell>
          <cell r="DX911">
            <v>0</v>
          </cell>
          <cell r="DY911">
            <v>0</v>
          </cell>
          <cell r="DZ911">
            <v>0</v>
          </cell>
          <cell r="EA911">
            <v>0</v>
          </cell>
          <cell r="EB911">
            <v>0</v>
          </cell>
          <cell r="EC911">
            <v>0</v>
          </cell>
        </row>
        <row r="912"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R912">
            <v>0</v>
          </cell>
          <cell r="V912">
            <v>1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BA912">
            <v>0</v>
          </cell>
          <cell r="BB912">
            <v>0</v>
          </cell>
          <cell r="BH912">
            <v>0</v>
          </cell>
          <cell r="BI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U912">
            <v>0</v>
          </cell>
          <cell r="BV912">
            <v>0</v>
          </cell>
          <cell r="BW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  <cell r="CN912">
            <v>0</v>
          </cell>
          <cell r="CO912">
            <v>0</v>
          </cell>
          <cell r="CP912">
            <v>0</v>
          </cell>
          <cell r="CS912">
            <v>0</v>
          </cell>
          <cell r="CU912">
            <v>0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B912">
            <v>0</v>
          </cell>
          <cell r="DC912">
            <v>0</v>
          </cell>
          <cell r="DD912">
            <v>0</v>
          </cell>
          <cell r="DE912">
            <v>0</v>
          </cell>
          <cell r="DF912">
            <v>0</v>
          </cell>
          <cell r="DG912">
            <v>0</v>
          </cell>
          <cell r="DH912">
            <v>0</v>
          </cell>
          <cell r="DL912">
            <v>0</v>
          </cell>
          <cell r="DM912">
            <v>0</v>
          </cell>
          <cell r="DO912">
            <v>0</v>
          </cell>
          <cell r="DQ912">
            <v>0</v>
          </cell>
          <cell r="DW912">
            <v>0</v>
          </cell>
          <cell r="DX912">
            <v>0</v>
          </cell>
          <cell r="DY912">
            <v>0</v>
          </cell>
          <cell r="DZ912">
            <v>0</v>
          </cell>
          <cell r="EA912">
            <v>0</v>
          </cell>
          <cell r="EB912">
            <v>0</v>
          </cell>
          <cell r="EC912">
            <v>0</v>
          </cell>
        </row>
        <row r="913"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R913">
            <v>0</v>
          </cell>
          <cell r="V913">
            <v>0</v>
          </cell>
          <cell r="W913">
            <v>2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BA913">
            <v>0</v>
          </cell>
          <cell r="BB913">
            <v>0</v>
          </cell>
          <cell r="BH913">
            <v>0</v>
          </cell>
          <cell r="BI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U913">
            <v>0</v>
          </cell>
          <cell r="BV913">
            <v>0</v>
          </cell>
          <cell r="BW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N913">
            <v>0</v>
          </cell>
          <cell r="CO913">
            <v>0</v>
          </cell>
          <cell r="CP913">
            <v>0</v>
          </cell>
          <cell r="CS913">
            <v>1</v>
          </cell>
          <cell r="CU913">
            <v>0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B913">
            <v>0</v>
          </cell>
          <cell r="DC913">
            <v>0</v>
          </cell>
          <cell r="DD913">
            <v>0</v>
          </cell>
          <cell r="DE913">
            <v>0</v>
          </cell>
          <cell r="DF913">
            <v>0</v>
          </cell>
          <cell r="DG913">
            <v>0</v>
          </cell>
          <cell r="DH913">
            <v>2</v>
          </cell>
          <cell r="DL913">
            <v>0</v>
          </cell>
          <cell r="DM913">
            <v>0</v>
          </cell>
          <cell r="DO913">
            <v>0</v>
          </cell>
          <cell r="DQ913">
            <v>0</v>
          </cell>
          <cell r="DW913">
            <v>0</v>
          </cell>
          <cell r="DX913">
            <v>0</v>
          </cell>
          <cell r="DY913">
            <v>0</v>
          </cell>
          <cell r="DZ913">
            <v>0</v>
          </cell>
          <cell r="EA913">
            <v>0</v>
          </cell>
          <cell r="EB913">
            <v>0</v>
          </cell>
          <cell r="EC913">
            <v>0</v>
          </cell>
        </row>
        <row r="914"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1</v>
          </cell>
          <cell r="R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U914">
            <v>0</v>
          </cell>
          <cell r="AV914">
            <v>0</v>
          </cell>
          <cell r="AW914">
            <v>1</v>
          </cell>
          <cell r="AX914">
            <v>0</v>
          </cell>
          <cell r="AY914">
            <v>0</v>
          </cell>
          <cell r="BA914">
            <v>0</v>
          </cell>
          <cell r="BB914">
            <v>0</v>
          </cell>
          <cell r="BH914">
            <v>0</v>
          </cell>
          <cell r="BI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U914">
            <v>0</v>
          </cell>
          <cell r="BV914">
            <v>0</v>
          </cell>
          <cell r="BW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  <cell r="CN914">
            <v>0</v>
          </cell>
          <cell r="CO914">
            <v>0</v>
          </cell>
          <cell r="CP914">
            <v>0</v>
          </cell>
          <cell r="CS914">
            <v>0</v>
          </cell>
          <cell r="CU914">
            <v>0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B914">
            <v>0</v>
          </cell>
          <cell r="DC914">
            <v>0</v>
          </cell>
          <cell r="DD914">
            <v>0</v>
          </cell>
          <cell r="DE914">
            <v>0</v>
          </cell>
          <cell r="DF914">
            <v>0</v>
          </cell>
          <cell r="DG914">
            <v>0</v>
          </cell>
          <cell r="DH914">
            <v>0</v>
          </cell>
          <cell r="DL914">
            <v>0</v>
          </cell>
          <cell r="DM914">
            <v>0</v>
          </cell>
          <cell r="DO914">
            <v>0</v>
          </cell>
          <cell r="DQ914">
            <v>0</v>
          </cell>
          <cell r="DW914">
            <v>0</v>
          </cell>
          <cell r="DX914">
            <v>0</v>
          </cell>
          <cell r="DY914">
            <v>0</v>
          </cell>
          <cell r="DZ914">
            <v>0</v>
          </cell>
          <cell r="EA914">
            <v>0</v>
          </cell>
          <cell r="EB914">
            <v>0</v>
          </cell>
          <cell r="EC914">
            <v>0</v>
          </cell>
        </row>
        <row r="915"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R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BA915">
            <v>0</v>
          </cell>
          <cell r="BB915">
            <v>0</v>
          </cell>
          <cell r="BH915">
            <v>0</v>
          </cell>
          <cell r="BI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1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U915">
            <v>0</v>
          </cell>
          <cell r="BV915">
            <v>0</v>
          </cell>
          <cell r="BW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  <cell r="CN915">
            <v>0</v>
          </cell>
          <cell r="CO915">
            <v>0</v>
          </cell>
          <cell r="CP915">
            <v>0</v>
          </cell>
          <cell r="CS915">
            <v>0</v>
          </cell>
          <cell r="CU915">
            <v>0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B915">
            <v>0</v>
          </cell>
          <cell r="DC915">
            <v>0</v>
          </cell>
          <cell r="DD915">
            <v>0</v>
          </cell>
          <cell r="DE915">
            <v>0</v>
          </cell>
          <cell r="DF915">
            <v>0</v>
          </cell>
          <cell r="DG915">
            <v>0</v>
          </cell>
          <cell r="DH915">
            <v>0</v>
          </cell>
          <cell r="DL915">
            <v>0</v>
          </cell>
          <cell r="DM915">
            <v>0</v>
          </cell>
          <cell r="DO915">
            <v>0</v>
          </cell>
          <cell r="DQ915">
            <v>0</v>
          </cell>
          <cell r="DW915">
            <v>0</v>
          </cell>
          <cell r="DX915">
            <v>0</v>
          </cell>
          <cell r="DY915">
            <v>0</v>
          </cell>
          <cell r="DZ915">
            <v>0</v>
          </cell>
          <cell r="EA915">
            <v>0</v>
          </cell>
          <cell r="EB915">
            <v>0</v>
          </cell>
          <cell r="EC915">
            <v>0</v>
          </cell>
        </row>
        <row r="916"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R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BA916">
            <v>0</v>
          </cell>
          <cell r="BB916">
            <v>0</v>
          </cell>
          <cell r="BH916">
            <v>0</v>
          </cell>
          <cell r="BI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U916">
            <v>0</v>
          </cell>
          <cell r="BV916">
            <v>0</v>
          </cell>
          <cell r="BW916">
            <v>0</v>
          </cell>
          <cell r="BZ916">
            <v>1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  <cell r="CN916">
            <v>0</v>
          </cell>
          <cell r="CO916">
            <v>0</v>
          </cell>
          <cell r="CP916">
            <v>0</v>
          </cell>
          <cell r="CS916">
            <v>0</v>
          </cell>
          <cell r="CU916">
            <v>0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B916">
            <v>0</v>
          </cell>
          <cell r="DC916">
            <v>0</v>
          </cell>
          <cell r="DD916">
            <v>0</v>
          </cell>
          <cell r="DE916">
            <v>0</v>
          </cell>
          <cell r="DF916">
            <v>0</v>
          </cell>
          <cell r="DG916">
            <v>0</v>
          </cell>
          <cell r="DH916">
            <v>0</v>
          </cell>
          <cell r="DL916">
            <v>0</v>
          </cell>
          <cell r="DM916">
            <v>0</v>
          </cell>
          <cell r="DO916">
            <v>0</v>
          </cell>
          <cell r="DQ916">
            <v>0</v>
          </cell>
          <cell r="DW916">
            <v>0</v>
          </cell>
          <cell r="DX916">
            <v>0</v>
          </cell>
          <cell r="DY916">
            <v>0</v>
          </cell>
          <cell r="DZ916">
            <v>0</v>
          </cell>
          <cell r="EA916">
            <v>0</v>
          </cell>
          <cell r="EB916">
            <v>0</v>
          </cell>
          <cell r="EC916">
            <v>0</v>
          </cell>
        </row>
        <row r="917"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R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BA917">
            <v>0</v>
          </cell>
          <cell r="BB917">
            <v>0</v>
          </cell>
          <cell r="BH917">
            <v>0</v>
          </cell>
          <cell r="BI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U917">
            <v>0</v>
          </cell>
          <cell r="BV917">
            <v>0</v>
          </cell>
          <cell r="BW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  <cell r="CN917">
            <v>0</v>
          </cell>
          <cell r="CO917">
            <v>0</v>
          </cell>
          <cell r="CP917">
            <v>0</v>
          </cell>
          <cell r="CS917">
            <v>0</v>
          </cell>
          <cell r="CU917">
            <v>0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B917">
            <v>0</v>
          </cell>
          <cell r="DC917">
            <v>0</v>
          </cell>
          <cell r="DD917">
            <v>0</v>
          </cell>
          <cell r="DE917">
            <v>0</v>
          </cell>
          <cell r="DF917">
            <v>0</v>
          </cell>
          <cell r="DG917">
            <v>0</v>
          </cell>
          <cell r="DH917">
            <v>0</v>
          </cell>
          <cell r="DL917">
            <v>0</v>
          </cell>
          <cell r="DM917">
            <v>0</v>
          </cell>
          <cell r="DO917">
            <v>0</v>
          </cell>
          <cell r="DQ917">
            <v>0</v>
          </cell>
          <cell r="DW917">
            <v>0</v>
          </cell>
          <cell r="DX917">
            <v>0</v>
          </cell>
          <cell r="DY917">
            <v>0</v>
          </cell>
          <cell r="DZ917">
            <v>0</v>
          </cell>
          <cell r="EA917">
            <v>0</v>
          </cell>
          <cell r="EB917">
            <v>0</v>
          </cell>
          <cell r="EC917">
            <v>0</v>
          </cell>
        </row>
        <row r="918"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R918">
            <v>0</v>
          </cell>
          <cell r="V918">
            <v>1</v>
          </cell>
          <cell r="W918">
            <v>3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1</v>
          </cell>
          <cell r="AY918">
            <v>0</v>
          </cell>
          <cell r="BA918">
            <v>0</v>
          </cell>
          <cell r="BB918">
            <v>0</v>
          </cell>
          <cell r="BH918">
            <v>0</v>
          </cell>
          <cell r="BI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U918">
            <v>0</v>
          </cell>
          <cell r="BV918">
            <v>0</v>
          </cell>
          <cell r="BW918">
            <v>0</v>
          </cell>
          <cell r="BZ918">
            <v>0</v>
          </cell>
          <cell r="CA918">
            <v>0</v>
          </cell>
          <cell r="CB918">
            <v>1</v>
          </cell>
          <cell r="CC918">
            <v>1</v>
          </cell>
          <cell r="CD918">
            <v>0</v>
          </cell>
          <cell r="CE918">
            <v>0</v>
          </cell>
          <cell r="CH918">
            <v>0</v>
          </cell>
          <cell r="CI918">
            <v>6</v>
          </cell>
          <cell r="CJ918">
            <v>6</v>
          </cell>
          <cell r="CK918">
            <v>3</v>
          </cell>
          <cell r="CN918">
            <v>3</v>
          </cell>
          <cell r="CO918">
            <v>0</v>
          </cell>
          <cell r="CP918">
            <v>0</v>
          </cell>
          <cell r="CS918">
            <v>0</v>
          </cell>
          <cell r="CU918">
            <v>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3</v>
          </cell>
          <cell r="DB918">
            <v>0</v>
          </cell>
          <cell r="DC918">
            <v>0</v>
          </cell>
          <cell r="DD918">
            <v>0</v>
          </cell>
          <cell r="DE918">
            <v>0</v>
          </cell>
          <cell r="DF918">
            <v>0</v>
          </cell>
          <cell r="DG918">
            <v>1</v>
          </cell>
          <cell r="DH918">
            <v>2</v>
          </cell>
          <cell r="DL918">
            <v>0</v>
          </cell>
          <cell r="DM918">
            <v>0</v>
          </cell>
          <cell r="DO918">
            <v>0</v>
          </cell>
          <cell r="DQ918">
            <v>0</v>
          </cell>
          <cell r="DW918">
            <v>0</v>
          </cell>
          <cell r="DX918">
            <v>0</v>
          </cell>
          <cell r="DY918">
            <v>0</v>
          </cell>
          <cell r="DZ918">
            <v>0</v>
          </cell>
          <cell r="EA918">
            <v>0</v>
          </cell>
          <cell r="EB918">
            <v>0</v>
          </cell>
          <cell r="EC918">
            <v>0</v>
          </cell>
        </row>
        <row r="919"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1</v>
          </cell>
          <cell r="R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U919">
            <v>0</v>
          </cell>
          <cell r="AV919">
            <v>0</v>
          </cell>
          <cell r="AW919">
            <v>1</v>
          </cell>
          <cell r="AX919">
            <v>0</v>
          </cell>
          <cell r="AY919">
            <v>0</v>
          </cell>
          <cell r="BA919">
            <v>0</v>
          </cell>
          <cell r="BB919">
            <v>0</v>
          </cell>
          <cell r="BH919">
            <v>0</v>
          </cell>
          <cell r="BI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U919">
            <v>0</v>
          </cell>
          <cell r="BV919">
            <v>0</v>
          </cell>
          <cell r="BW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  <cell r="CN919">
            <v>0</v>
          </cell>
          <cell r="CO919">
            <v>0</v>
          </cell>
          <cell r="CP919">
            <v>0</v>
          </cell>
          <cell r="CS919">
            <v>0</v>
          </cell>
          <cell r="CU919">
            <v>0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B919">
            <v>0</v>
          </cell>
          <cell r="DC919">
            <v>0</v>
          </cell>
          <cell r="DD919">
            <v>0</v>
          </cell>
          <cell r="DE919">
            <v>0</v>
          </cell>
          <cell r="DF919">
            <v>0</v>
          </cell>
          <cell r="DG919">
            <v>0</v>
          </cell>
          <cell r="DH919">
            <v>0</v>
          </cell>
          <cell r="DL919">
            <v>0</v>
          </cell>
          <cell r="DM919">
            <v>0</v>
          </cell>
          <cell r="DO919">
            <v>0</v>
          </cell>
          <cell r="DQ919">
            <v>0</v>
          </cell>
          <cell r="DW919">
            <v>0</v>
          </cell>
          <cell r="DX919">
            <v>0</v>
          </cell>
          <cell r="DY919">
            <v>0</v>
          </cell>
          <cell r="DZ919">
            <v>0</v>
          </cell>
          <cell r="EA919">
            <v>0</v>
          </cell>
          <cell r="EB919">
            <v>0</v>
          </cell>
          <cell r="EC919">
            <v>0</v>
          </cell>
        </row>
        <row r="920"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R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BA920">
            <v>0</v>
          </cell>
          <cell r="BB920">
            <v>0</v>
          </cell>
          <cell r="BH920">
            <v>0</v>
          </cell>
          <cell r="BI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8</v>
          </cell>
          <cell r="BQ920">
            <v>0</v>
          </cell>
          <cell r="BR920">
            <v>0</v>
          </cell>
          <cell r="BS920">
            <v>0</v>
          </cell>
          <cell r="BU920">
            <v>0</v>
          </cell>
          <cell r="BV920">
            <v>0</v>
          </cell>
          <cell r="BW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  <cell r="CN920">
            <v>0</v>
          </cell>
          <cell r="CO920">
            <v>0</v>
          </cell>
          <cell r="CP920">
            <v>0</v>
          </cell>
          <cell r="CS920">
            <v>0</v>
          </cell>
          <cell r="CU920">
            <v>0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B920">
            <v>0</v>
          </cell>
          <cell r="DC920">
            <v>0</v>
          </cell>
          <cell r="DD920">
            <v>0</v>
          </cell>
          <cell r="DE920">
            <v>0</v>
          </cell>
          <cell r="DF920">
            <v>0</v>
          </cell>
          <cell r="DG920">
            <v>0</v>
          </cell>
          <cell r="DH920">
            <v>0</v>
          </cell>
          <cell r="DL920">
            <v>0</v>
          </cell>
          <cell r="DM920">
            <v>0</v>
          </cell>
          <cell r="DO920">
            <v>0</v>
          </cell>
          <cell r="DQ920">
            <v>0</v>
          </cell>
          <cell r="DW920">
            <v>0</v>
          </cell>
          <cell r="DX920">
            <v>0</v>
          </cell>
          <cell r="DY920">
            <v>0</v>
          </cell>
          <cell r="DZ920">
            <v>0</v>
          </cell>
          <cell r="EA920">
            <v>0</v>
          </cell>
          <cell r="EB920">
            <v>0</v>
          </cell>
          <cell r="EC920">
            <v>0</v>
          </cell>
        </row>
        <row r="921"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R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BA921">
            <v>0</v>
          </cell>
          <cell r="BB921">
            <v>0</v>
          </cell>
          <cell r="BH921">
            <v>0</v>
          </cell>
          <cell r="BI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U921">
            <v>0</v>
          </cell>
          <cell r="BV921">
            <v>0</v>
          </cell>
          <cell r="BW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  <cell r="CN921">
            <v>0</v>
          </cell>
          <cell r="CO921">
            <v>0</v>
          </cell>
          <cell r="CP921">
            <v>0</v>
          </cell>
          <cell r="CS921">
            <v>0</v>
          </cell>
          <cell r="CU921">
            <v>0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B921">
            <v>0</v>
          </cell>
          <cell r="DC921">
            <v>0</v>
          </cell>
          <cell r="DD921">
            <v>0</v>
          </cell>
          <cell r="DE921">
            <v>0</v>
          </cell>
          <cell r="DF921">
            <v>0</v>
          </cell>
          <cell r="DG921">
            <v>0</v>
          </cell>
          <cell r="DH921">
            <v>0</v>
          </cell>
          <cell r="DL921">
            <v>0</v>
          </cell>
          <cell r="DM921">
            <v>0</v>
          </cell>
          <cell r="DO921">
            <v>0</v>
          </cell>
          <cell r="DQ921">
            <v>0</v>
          </cell>
          <cell r="DW921">
            <v>0</v>
          </cell>
          <cell r="DX921">
            <v>0</v>
          </cell>
          <cell r="DY921">
            <v>0</v>
          </cell>
          <cell r="DZ921">
            <v>0</v>
          </cell>
          <cell r="EA921">
            <v>0</v>
          </cell>
          <cell r="EB921">
            <v>0</v>
          </cell>
          <cell r="EC921">
            <v>0</v>
          </cell>
        </row>
        <row r="922"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R922">
            <v>0</v>
          </cell>
          <cell r="V922">
            <v>0</v>
          </cell>
          <cell r="W922">
            <v>1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BA922">
            <v>0</v>
          </cell>
          <cell r="BB922">
            <v>0</v>
          </cell>
          <cell r="BH922">
            <v>0</v>
          </cell>
          <cell r="BI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U922">
            <v>0</v>
          </cell>
          <cell r="BV922">
            <v>0</v>
          </cell>
          <cell r="BW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  <cell r="CN922">
            <v>0</v>
          </cell>
          <cell r="CO922">
            <v>0</v>
          </cell>
          <cell r="CP922">
            <v>0</v>
          </cell>
          <cell r="CS922">
            <v>0</v>
          </cell>
          <cell r="CU922">
            <v>0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B922">
            <v>0</v>
          </cell>
          <cell r="DC922">
            <v>0</v>
          </cell>
          <cell r="DD922">
            <v>0</v>
          </cell>
          <cell r="DE922">
            <v>0</v>
          </cell>
          <cell r="DF922">
            <v>0</v>
          </cell>
          <cell r="DG922">
            <v>1</v>
          </cell>
          <cell r="DH922">
            <v>0</v>
          </cell>
          <cell r="DL922">
            <v>0</v>
          </cell>
          <cell r="DM922">
            <v>0</v>
          </cell>
          <cell r="DO922">
            <v>0</v>
          </cell>
          <cell r="DQ922">
            <v>0</v>
          </cell>
          <cell r="DW922">
            <v>0</v>
          </cell>
          <cell r="DX922">
            <v>0</v>
          </cell>
          <cell r="DY922">
            <v>0</v>
          </cell>
          <cell r="DZ922">
            <v>0</v>
          </cell>
          <cell r="EA922">
            <v>0</v>
          </cell>
          <cell r="EB922">
            <v>0</v>
          </cell>
          <cell r="EC922">
            <v>0</v>
          </cell>
        </row>
        <row r="923"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R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N923">
            <v>0</v>
          </cell>
          <cell r="AO923">
            <v>0</v>
          </cell>
          <cell r="AP923">
            <v>8</v>
          </cell>
          <cell r="AQ923">
            <v>0</v>
          </cell>
          <cell r="AR923">
            <v>0</v>
          </cell>
          <cell r="AS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BA923">
            <v>0</v>
          </cell>
          <cell r="BB923">
            <v>0</v>
          </cell>
          <cell r="BH923">
            <v>0</v>
          </cell>
          <cell r="BI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U923">
            <v>0</v>
          </cell>
          <cell r="BV923">
            <v>0</v>
          </cell>
          <cell r="BW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  <cell r="CN923">
            <v>0</v>
          </cell>
          <cell r="CO923">
            <v>0</v>
          </cell>
          <cell r="CP923">
            <v>0</v>
          </cell>
          <cell r="CS923">
            <v>0</v>
          </cell>
          <cell r="CU923">
            <v>0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B923">
            <v>0</v>
          </cell>
          <cell r="DC923">
            <v>0</v>
          </cell>
          <cell r="DD923">
            <v>0</v>
          </cell>
          <cell r="DE923">
            <v>0</v>
          </cell>
          <cell r="DF923">
            <v>0</v>
          </cell>
          <cell r="DG923">
            <v>0</v>
          </cell>
          <cell r="DH923">
            <v>0</v>
          </cell>
          <cell r="DL923">
            <v>0</v>
          </cell>
          <cell r="DM923">
            <v>0</v>
          </cell>
          <cell r="DO923">
            <v>0</v>
          </cell>
          <cell r="DQ923">
            <v>0</v>
          </cell>
          <cell r="DW923">
            <v>0</v>
          </cell>
          <cell r="DX923">
            <v>0</v>
          </cell>
          <cell r="DY923">
            <v>0</v>
          </cell>
          <cell r="DZ923">
            <v>0</v>
          </cell>
          <cell r="EA923">
            <v>0</v>
          </cell>
          <cell r="EB923">
            <v>0</v>
          </cell>
          <cell r="EC923">
            <v>0</v>
          </cell>
        </row>
        <row r="924"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R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1</v>
          </cell>
          <cell r="Z924">
            <v>0</v>
          </cell>
          <cell r="AA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BA924">
            <v>0</v>
          </cell>
          <cell r="BB924">
            <v>0</v>
          </cell>
          <cell r="BH924">
            <v>0</v>
          </cell>
          <cell r="BI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U924">
            <v>0</v>
          </cell>
          <cell r="BV924">
            <v>0</v>
          </cell>
          <cell r="BW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  <cell r="CN924">
            <v>0</v>
          </cell>
          <cell r="CO924">
            <v>0</v>
          </cell>
          <cell r="CP924">
            <v>0</v>
          </cell>
          <cell r="CS924">
            <v>0</v>
          </cell>
          <cell r="CU924">
            <v>0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B924">
            <v>0</v>
          </cell>
          <cell r="DC924">
            <v>0</v>
          </cell>
          <cell r="DD924">
            <v>0</v>
          </cell>
          <cell r="DE924">
            <v>0</v>
          </cell>
          <cell r="DF924">
            <v>0</v>
          </cell>
          <cell r="DG924">
            <v>0</v>
          </cell>
          <cell r="DH924">
            <v>0</v>
          </cell>
          <cell r="DL924">
            <v>0</v>
          </cell>
          <cell r="DM924">
            <v>0</v>
          </cell>
          <cell r="DO924">
            <v>0</v>
          </cell>
          <cell r="DQ924">
            <v>0</v>
          </cell>
          <cell r="DW924">
            <v>0</v>
          </cell>
          <cell r="DX924">
            <v>0</v>
          </cell>
          <cell r="DY924">
            <v>0</v>
          </cell>
          <cell r="DZ924">
            <v>0</v>
          </cell>
          <cell r="EA924">
            <v>0</v>
          </cell>
          <cell r="EB924">
            <v>0</v>
          </cell>
          <cell r="EC924">
            <v>0</v>
          </cell>
        </row>
        <row r="925">
          <cell r="D925">
            <v>0</v>
          </cell>
          <cell r="E925">
            <v>1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R925">
            <v>0</v>
          </cell>
          <cell r="V925">
            <v>1</v>
          </cell>
          <cell r="W925">
            <v>0</v>
          </cell>
          <cell r="X925">
            <v>1</v>
          </cell>
          <cell r="Y925">
            <v>1</v>
          </cell>
          <cell r="Z925">
            <v>0</v>
          </cell>
          <cell r="AA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1</v>
          </cell>
          <cell r="AL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1</v>
          </cell>
          <cell r="BA925">
            <v>0</v>
          </cell>
          <cell r="BB925">
            <v>0</v>
          </cell>
          <cell r="BH925">
            <v>0</v>
          </cell>
          <cell r="BI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U925">
            <v>0</v>
          </cell>
          <cell r="BV925">
            <v>0</v>
          </cell>
          <cell r="BW925">
            <v>1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  <cell r="CN925">
            <v>0</v>
          </cell>
          <cell r="CO925">
            <v>0</v>
          </cell>
          <cell r="CP925">
            <v>0</v>
          </cell>
          <cell r="CS925">
            <v>0</v>
          </cell>
          <cell r="CU925">
            <v>0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B925">
            <v>0</v>
          </cell>
          <cell r="DC925">
            <v>1</v>
          </cell>
          <cell r="DD925">
            <v>0</v>
          </cell>
          <cell r="DE925">
            <v>0</v>
          </cell>
          <cell r="DF925">
            <v>0</v>
          </cell>
          <cell r="DG925">
            <v>0</v>
          </cell>
          <cell r="DH925">
            <v>0</v>
          </cell>
          <cell r="DL925">
            <v>0</v>
          </cell>
          <cell r="DM925">
            <v>0</v>
          </cell>
          <cell r="DO925">
            <v>0</v>
          </cell>
          <cell r="DQ925">
            <v>0</v>
          </cell>
          <cell r="DW925">
            <v>0</v>
          </cell>
          <cell r="DX925">
            <v>0</v>
          </cell>
          <cell r="DY925">
            <v>0</v>
          </cell>
          <cell r="DZ925">
            <v>0</v>
          </cell>
          <cell r="EA925">
            <v>0</v>
          </cell>
          <cell r="EB925">
            <v>0</v>
          </cell>
          <cell r="EC925">
            <v>0</v>
          </cell>
        </row>
        <row r="926"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K926">
            <v>0</v>
          </cell>
          <cell r="L926">
            <v>0</v>
          </cell>
          <cell r="M926">
            <v>1</v>
          </cell>
          <cell r="N926">
            <v>0</v>
          </cell>
          <cell r="R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1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N926">
            <v>1</v>
          </cell>
          <cell r="AO926">
            <v>1</v>
          </cell>
          <cell r="AP926">
            <v>1</v>
          </cell>
          <cell r="AQ926">
            <v>0</v>
          </cell>
          <cell r="AR926">
            <v>0</v>
          </cell>
          <cell r="AS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1</v>
          </cell>
          <cell r="BA926">
            <v>0</v>
          </cell>
          <cell r="BB926">
            <v>0</v>
          </cell>
          <cell r="BH926">
            <v>0</v>
          </cell>
          <cell r="BI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U926">
            <v>0</v>
          </cell>
          <cell r="BV926">
            <v>0</v>
          </cell>
          <cell r="BW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  <cell r="CN926">
            <v>0</v>
          </cell>
          <cell r="CO926">
            <v>0</v>
          </cell>
          <cell r="CP926">
            <v>0</v>
          </cell>
          <cell r="CS926">
            <v>0</v>
          </cell>
          <cell r="CU926">
            <v>0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B926">
            <v>0</v>
          </cell>
          <cell r="DC926">
            <v>0</v>
          </cell>
          <cell r="DD926">
            <v>0</v>
          </cell>
          <cell r="DE926">
            <v>0</v>
          </cell>
          <cell r="DF926">
            <v>0</v>
          </cell>
          <cell r="DG926">
            <v>0</v>
          </cell>
          <cell r="DH926">
            <v>0</v>
          </cell>
          <cell r="DL926">
            <v>0</v>
          </cell>
          <cell r="DM926">
            <v>0</v>
          </cell>
          <cell r="DO926">
            <v>0</v>
          </cell>
          <cell r="DQ926">
            <v>0</v>
          </cell>
          <cell r="DW926">
            <v>0</v>
          </cell>
          <cell r="DX926">
            <v>0</v>
          </cell>
          <cell r="DY926">
            <v>0</v>
          </cell>
          <cell r="DZ926">
            <v>0</v>
          </cell>
          <cell r="EA926">
            <v>0</v>
          </cell>
          <cell r="EB926">
            <v>0</v>
          </cell>
          <cell r="EC926">
            <v>0</v>
          </cell>
        </row>
        <row r="927">
          <cell r="D927">
            <v>1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R927">
            <v>0</v>
          </cell>
          <cell r="V927">
            <v>0</v>
          </cell>
          <cell r="W927">
            <v>0</v>
          </cell>
          <cell r="X927">
            <v>2</v>
          </cell>
          <cell r="Y927">
            <v>4</v>
          </cell>
          <cell r="Z927">
            <v>0</v>
          </cell>
          <cell r="AA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BA927">
            <v>0</v>
          </cell>
          <cell r="BB927">
            <v>0</v>
          </cell>
          <cell r="BH927">
            <v>0</v>
          </cell>
          <cell r="BI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U927">
            <v>0</v>
          </cell>
          <cell r="BV927">
            <v>0</v>
          </cell>
          <cell r="BW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  <cell r="CN927">
            <v>0</v>
          </cell>
          <cell r="CO927">
            <v>0</v>
          </cell>
          <cell r="CP927">
            <v>0</v>
          </cell>
          <cell r="CS927">
            <v>0</v>
          </cell>
          <cell r="CU927">
            <v>0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B927">
            <v>0</v>
          </cell>
          <cell r="DC927">
            <v>0</v>
          </cell>
          <cell r="DD927">
            <v>0</v>
          </cell>
          <cell r="DE927">
            <v>0</v>
          </cell>
          <cell r="DF927">
            <v>0</v>
          </cell>
          <cell r="DG927">
            <v>0</v>
          </cell>
          <cell r="DH927">
            <v>0</v>
          </cell>
          <cell r="DL927">
            <v>0</v>
          </cell>
          <cell r="DM927">
            <v>0</v>
          </cell>
          <cell r="DO927">
            <v>0</v>
          </cell>
          <cell r="DQ927">
            <v>0</v>
          </cell>
          <cell r="DW927">
            <v>0</v>
          </cell>
          <cell r="DX927">
            <v>0</v>
          </cell>
          <cell r="DY927">
            <v>0</v>
          </cell>
          <cell r="DZ927">
            <v>0</v>
          </cell>
          <cell r="EA927">
            <v>0</v>
          </cell>
          <cell r="EB927">
            <v>0</v>
          </cell>
          <cell r="EC927">
            <v>0</v>
          </cell>
        </row>
        <row r="928"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R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BA928">
            <v>0</v>
          </cell>
          <cell r="BB928">
            <v>0</v>
          </cell>
          <cell r="BH928">
            <v>0</v>
          </cell>
          <cell r="BI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U928">
            <v>0</v>
          </cell>
          <cell r="BV928">
            <v>0</v>
          </cell>
          <cell r="BW928">
            <v>1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1</v>
          </cell>
          <cell r="CE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  <cell r="CN928">
            <v>0</v>
          </cell>
          <cell r="CO928">
            <v>0</v>
          </cell>
          <cell r="CP928">
            <v>0</v>
          </cell>
          <cell r="CS928">
            <v>0</v>
          </cell>
          <cell r="CU928">
            <v>0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B928">
            <v>0</v>
          </cell>
          <cell r="DC928">
            <v>0</v>
          </cell>
          <cell r="DD928">
            <v>0</v>
          </cell>
          <cell r="DE928">
            <v>0</v>
          </cell>
          <cell r="DF928">
            <v>0</v>
          </cell>
          <cell r="DG928">
            <v>0</v>
          </cell>
          <cell r="DH928">
            <v>0</v>
          </cell>
          <cell r="DL928">
            <v>0</v>
          </cell>
          <cell r="DM928">
            <v>0</v>
          </cell>
          <cell r="DO928">
            <v>0</v>
          </cell>
          <cell r="DQ928">
            <v>0</v>
          </cell>
          <cell r="DW928">
            <v>0</v>
          </cell>
          <cell r="DX928">
            <v>0</v>
          </cell>
          <cell r="DY928">
            <v>0</v>
          </cell>
          <cell r="DZ928">
            <v>0</v>
          </cell>
          <cell r="EA928">
            <v>0</v>
          </cell>
          <cell r="EB928">
            <v>0</v>
          </cell>
          <cell r="EC928">
            <v>0</v>
          </cell>
        </row>
        <row r="929"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R929">
            <v>0</v>
          </cell>
          <cell r="V929">
            <v>0</v>
          </cell>
          <cell r="W929">
            <v>1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BA929">
            <v>0</v>
          </cell>
          <cell r="BB929">
            <v>0</v>
          </cell>
          <cell r="BH929">
            <v>0</v>
          </cell>
          <cell r="BI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U929">
            <v>0</v>
          </cell>
          <cell r="BV929">
            <v>0</v>
          </cell>
          <cell r="BW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  <cell r="CN929">
            <v>0</v>
          </cell>
          <cell r="CO929">
            <v>0</v>
          </cell>
          <cell r="CP929">
            <v>0</v>
          </cell>
          <cell r="CS929">
            <v>0</v>
          </cell>
          <cell r="CU929">
            <v>0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B929">
            <v>0</v>
          </cell>
          <cell r="DC929">
            <v>0</v>
          </cell>
          <cell r="DD929">
            <v>0</v>
          </cell>
          <cell r="DE929">
            <v>0</v>
          </cell>
          <cell r="DF929">
            <v>0</v>
          </cell>
          <cell r="DG929">
            <v>0</v>
          </cell>
          <cell r="DH929">
            <v>0</v>
          </cell>
          <cell r="DL929">
            <v>0</v>
          </cell>
          <cell r="DM929">
            <v>0</v>
          </cell>
          <cell r="DO929">
            <v>0</v>
          </cell>
          <cell r="DQ929">
            <v>0</v>
          </cell>
          <cell r="DW929">
            <v>0</v>
          </cell>
          <cell r="DX929">
            <v>0</v>
          </cell>
          <cell r="DY929">
            <v>0</v>
          </cell>
          <cell r="DZ929">
            <v>0</v>
          </cell>
          <cell r="EA929">
            <v>0</v>
          </cell>
          <cell r="EB929">
            <v>0</v>
          </cell>
          <cell r="EC929">
            <v>0</v>
          </cell>
        </row>
        <row r="930"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R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BA930">
            <v>0</v>
          </cell>
          <cell r="BB930">
            <v>0</v>
          </cell>
          <cell r="BH930">
            <v>0</v>
          </cell>
          <cell r="BI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U930">
            <v>1</v>
          </cell>
          <cell r="BV930">
            <v>1</v>
          </cell>
          <cell r="BW930">
            <v>0</v>
          </cell>
          <cell r="BZ930">
            <v>0</v>
          </cell>
          <cell r="CA930">
            <v>1</v>
          </cell>
          <cell r="CB930">
            <v>0</v>
          </cell>
          <cell r="CC930">
            <v>1</v>
          </cell>
          <cell r="CD930">
            <v>0</v>
          </cell>
          <cell r="CE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  <cell r="CN930">
            <v>0</v>
          </cell>
          <cell r="CO930">
            <v>0</v>
          </cell>
          <cell r="CP930">
            <v>0</v>
          </cell>
          <cell r="CS930">
            <v>0</v>
          </cell>
          <cell r="CU930">
            <v>0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B930">
            <v>0</v>
          </cell>
          <cell r="DC930">
            <v>0</v>
          </cell>
          <cell r="DD930">
            <v>0</v>
          </cell>
          <cell r="DE930">
            <v>0</v>
          </cell>
          <cell r="DF930">
            <v>0</v>
          </cell>
          <cell r="DG930">
            <v>0</v>
          </cell>
          <cell r="DH930">
            <v>0</v>
          </cell>
          <cell r="DL930">
            <v>0</v>
          </cell>
          <cell r="DM930">
            <v>0</v>
          </cell>
          <cell r="DO930">
            <v>0</v>
          </cell>
          <cell r="DQ930">
            <v>0</v>
          </cell>
          <cell r="DW930">
            <v>0</v>
          </cell>
          <cell r="DX930">
            <v>0</v>
          </cell>
          <cell r="DY930">
            <v>0</v>
          </cell>
          <cell r="DZ930">
            <v>0</v>
          </cell>
          <cell r="EA930">
            <v>0</v>
          </cell>
          <cell r="EB930">
            <v>0</v>
          </cell>
          <cell r="EC930">
            <v>0</v>
          </cell>
        </row>
        <row r="931"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R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1</v>
          </cell>
          <cell r="AS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BA931">
            <v>0</v>
          </cell>
          <cell r="BB931">
            <v>0</v>
          </cell>
          <cell r="BH931">
            <v>0</v>
          </cell>
          <cell r="BI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U931">
            <v>0</v>
          </cell>
          <cell r="BV931">
            <v>0</v>
          </cell>
          <cell r="BW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  <cell r="CN931">
            <v>0</v>
          </cell>
          <cell r="CO931">
            <v>0</v>
          </cell>
          <cell r="CP931">
            <v>1</v>
          </cell>
          <cell r="CS931">
            <v>1</v>
          </cell>
          <cell r="CU931">
            <v>0</v>
          </cell>
          <cell r="CV931">
            <v>1</v>
          </cell>
          <cell r="CW931">
            <v>1</v>
          </cell>
          <cell r="CX931">
            <v>0</v>
          </cell>
          <cell r="CY931">
            <v>1</v>
          </cell>
          <cell r="CZ931">
            <v>0</v>
          </cell>
          <cell r="DB931">
            <v>0</v>
          </cell>
          <cell r="DC931">
            <v>0</v>
          </cell>
          <cell r="DD931">
            <v>0</v>
          </cell>
          <cell r="DE931">
            <v>0</v>
          </cell>
          <cell r="DF931">
            <v>0</v>
          </cell>
          <cell r="DG931">
            <v>0</v>
          </cell>
          <cell r="DH931">
            <v>0</v>
          </cell>
          <cell r="DL931">
            <v>1</v>
          </cell>
          <cell r="DM931">
            <v>1</v>
          </cell>
          <cell r="DO931">
            <v>0</v>
          </cell>
          <cell r="DQ931">
            <v>0</v>
          </cell>
          <cell r="DW931">
            <v>1</v>
          </cell>
          <cell r="DX931">
            <v>0</v>
          </cell>
          <cell r="DY931">
            <v>0</v>
          </cell>
          <cell r="DZ931">
            <v>0</v>
          </cell>
          <cell r="EA931">
            <v>0</v>
          </cell>
          <cell r="EB931">
            <v>0</v>
          </cell>
          <cell r="EC931">
            <v>1</v>
          </cell>
        </row>
        <row r="932"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R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BA932">
            <v>0</v>
          </cell>
          <cell r="BB932">
            <v>0</v>
          </cell>
          <cell r="BH932">
            <v>0</v>
          </cell>
          <cell r="BI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U932">
            <v>0</v>
          </cell>
          <cell r="BV932">
            <v>0</v>
          </cell>
          <cell r="BW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  <cell r="CN932">
            <v>0</v>
          </cell>
          <cell r="CO932">
            <v>0</v>
          </cell>
          <cell r="CP932">
            <v>0</v>
          </cell>
          <cell r="CS932">
            <v>0</v>
          </cell>
          <cell r="CU932">
            <v>0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B932">
            <v>0</v>
          </cell>
          <cell r="DC932">
            <v>0</v>
          </cell>
          <cell r="DD932">
            <v>0</v>
          </cell>
          <cell r="DE932">
            <v>0</v>
          </cell>
          <cell r="DF932">
            <v>0</v>
          </cell>
          <cell r="DG932">
            <v>0</v>
          </cell>
          <cell r="DH932">
            <v>0</v>
          </cell>
          <cell r="DL932">
            <v>0</v>
          </cell>
          <cell r="DM932">
            <v>0</v>
          </cell>
          <cell r="DO932">
            <v>0</v>
          </cell>
          <cell r="DQ932">
            <v>0</v>
          </cell>
          <cell r="DW932">
            <v>0</v>
          </cell>
          <cell r="DX932">
            <v>0</v>
          </cell>
          <cell r="DY932">
            <v>0</v>
          </cell>
          <cell r="DZ932">
            <v>0</v>
          </cell>
          <cell r="EA932">
            <v>0</v>
          </cell>
          <cell r="EB932">
            <v>0</v>
          </cell>
          <cell r="EC932">
            <v>0</v>
          </cell>
        </row>
        <row r="933"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2</v>
          </cell>
          <cell r="R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U933">
            <v>0</v>
          </cell>
          <cell r="AV933">
            <v>0</v>
          </cell>
          <cell r="AW933">
            <v>2</v>
          </cell>
          <cell r="AX933">
            <v>0</v>
          </cell>
          <cell r="AY933">
            <v>0</v>
          </cell>
          <cell r="BA933">
            <v>0</v>
          </cell>
          <cell r="BB933">
            <v>0</v>
          </cell>
          <cell r="BH933">
            <v>0</v>
          </cell>
          <cell r="BI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U933">
            <v>0</v>
          </cell>
          <cell r="BV933">
            <v>0</v>
          </cell>
          <cell r="BW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  <cell r="CN933">
            <v>0</v>
          </cell>
          <cell r="CO933">
            <v>0</v>
          </cell>
          <cell r="CP933">
            <v>0</v>
          </cell>
          <cell r="CS933">
            <v>0</v>
          </cell>
          <cell r="CU933">
            <v>0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B933">
            <v>0</v>
          </cell>
          <cell r="DC933">
            <v>0</v>
          </cell>
          <cell r="DD933">
            <v>0</v>
          </cell>
          <cell r="DE933">
            <v>0</v>
          </cell>
          <cell r="DF933">
            <v>0</v>
          </cell>
          <cell r="DG933">
            <v>0</v>
          </cell>
          <cell r="DH933">
            <v>0</v>
          </cell>
          <cell r="DL933">
            <v>0</v>
          </cell>
          <cell r="DM933">
            <v>0</v>
          </cell>
          <cell r="DO933">
            <v>0</v>
          </cell>
          <cell r="DQ933">
            <v>0</v>
          </cell>
          <cell r="DW933">
            <v>0</v>
          </cell>
          <cell r="DX933">
            <v>0</v>
          </cell>
          <cell r="DY933">
            <v>0</v>
          </cell>
          <cell r="DZ933">
            <v>0</v>
          </cell>
          <cell r="EA933">
            <v>0</v>
          </cell>
          <cell r="EB933">
            <v>0</v>
          </cell>
          <cell r="EC933">
            <v>0</v>
          </cell>
        </row>
        <row r="934"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R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BA934">
            <v>0</v>
          </cell>
          <cell r="BB934">
            <v>0</v>
          </cell>
          <cell r="BH934">
            <v>0</v>
          </cell>
          <cell r="BI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U934">
            <v>0</v>
          </cell>
          <cell r="BV934">
            <v>0</v>
          </cell>
          <cell r="BW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  <cell r="CN934">
            <v>0</v>
          </cell>
          <cell r="CO934">
            <v>0</v>
          </cell>
          <cell r="CP934">
            <v>0</v>
          </cell>
          <cell r="CS934">
            <v>0</v>
          </cell>
          <cell r="CU934">
            <v>0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B934">
            <v>0</v>
          </cell>
          <cell r="DC934">
            <v>0</v>
          </cell>
          <cell r="DD934">
            <v>0</v>
          </cell>
          <cell r="DE934">
            <v>0</v>
          </cell>
          <cell r="DF934">
            <v>0</v>
          </cell>
          <cell r="DG934">
            <v>0</v>
          </cell>
          <cell r="DH934">
            <v>0</v>
          </cell>
          <cell r="DL934">
            <v>0</v>
          </cell>
          <cell r="DM934">
            <v>0</v>
          </cell>
          <cell r="DO934">
            <v>0</v>
          </cell>
          <cell r="DQ934">
            <v>0</v>
          </cell>
          <cell r="DW934">
            <v>0</v>
          </cell>
          <cell r="DX934">
            <v>0</v>
          </cell>
          <cell r="DY934">
            <v>0</v>
          </cell>
          <cell r="DZ934">
            <v>0</v>
          </cell>
          <cell r="EA934">
            <v>0</v>
          </cell>
          <cell r="EB934">
            <v>0</v>
          </cell>
          <cell r="EC934">
            <v>0</v>
          </cell>
        </row>
        <row r="935"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R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BA935">
            <v>0</v>
          </cell>
          <cell r="BB935">
            <v>0</v>
          </cell>
          <cell r="BH935">
            <v>0</v>
          </cell>
          <cell r="BI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U935">
            <v>0</v>
          </cell>
          <cell r="BV935">
            <v>0</v>
          </cell>
          <cell r="BW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  <cell r="CN935">
            <v>0</v>
          </cell>
          <cell r="CO935">
            <v>0</v>
          </cell>
          <cell r="CP935">
            <v>0</v>
          </cell>
          <cell r="CS935">
            <v>0</v>
          </cell>
          <cell r="CU935">
            <v>0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B935">
            <v>0</v>
          </cell>
          <cell r="DC935">
            <v>0</v>
          </cell>
          <cell r="DD935">
            <v>0</v>
          </cell>
          <cell r="DE935">
            <v>0</v>
          </cell>
          <cell r="DF935">
            <v>0</v>
          </cell>
          <cell r="DG935">
            <v>0</v>
          </cell>
          <cell r="DH935">
            <v>0</v>
          </cell>
          <cell r="DL935">
            <v>0</v>
          </cell>
          <cell r="DM935">
            <v>0</v>
          </cell>
          <cell r="DO935">
            <v>0</v>
          </cell>
          <cell r="DQ935">
            <v>0</v>
          </cell>
          <cell r="DW935">
            <v>0</v>
          </cell>
          <cell r="DX935">
            <v>0</v>
          </cell>
          <cell r="DY935">
            <v>0</v>
          </cell>
          <cell r="DZ935">
            <v>0</v>
          </cell>
          <cell r="EA935">
            <v>0</v>
          </cell>
          <cell r="EB935">
            <v>0</v>
          </cell>
          <cell r="EC935">
            <v>0</v>
          </cell>
        </row>
        <row r="936"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R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BA936">
            <v>0</v>
          </cell>
          <cell r="BB936">
            <v>0</v>
          </cell>
          <cell r="BH936">
            <v>0</v>
          </cell>
          <cell r="BI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U936">
            <v>0</v>
          </cell>
          <cell r="BV936">
            <v>0</v>
          </cell>
          <cell r="BW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  <cell r="CN936">
            <v>0</v>
          </cell>
          <cell r="CO936">
            <v>0</v>
          </cell>
          <cell r="CP936">
            <v>0</v>
          </cell>
          <cell r="CS936">
            <v>0</v>
          </cell>
          <cell r="CU936">
            <v>0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B936">
            <v>0</v>
          </cell>
          <cell r="DC936">
            <v>0</v>
          </cell>
          <cell r="DD936">
            <v>0</v>
          </cell>
          <cell r="DE936">
            <v>0</v>
          </cell>
          <cell r="DF936">
            <v>0</v>
          </cell>
          <cell r="DG936">
            <v>0</v>
          </cell>
          <cell r="DH936">
            <v>0</v>
          </cell>
          <cell r="DL936">
            <v>0</v>
          </cell>
          <cell r="DM936">
            <v>0</v>
          </cell>
          <cell r="DO936">
            <v>0</v>
          </cell>
          <cell r="DQ936">
            <v>0</v>
          </cell>
          <cell r="DW936">
            <v>0</v>
          </cell>
          <cell r="DX936">
            <v>0</v>
          </cell>
          <cell r="DY936">
            <v>0</v>
          </cell>
          <cell r="DZ936">
            <v>0</v>
          </cell>
          <cell r="EA936">
            <v>0</v>
          </cell>
          <cell r="EB936">
            <v>0</v>
          </cell>
          <cell r="EC936">
            <v>0</v>
          </cell>
        </row>
        <row r="937"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R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BA937">
            <v>0</v>
          </cell>
          <cell r="BB937">
            <v>0</v>
          </cell>
          <cell r="BH937">
            <v>0</v>
          </cell>
          <cell r="BI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U937">
            <v>0</v>
          </cell>
          <cell r="BV937">
            <v>0</v>
          </cell>
          <cell r="BW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1</v>
          </cell>
          <cell r="CD937">
            <v>0</v>
          </cell>
          <cell r="CE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  <cell r="CN937">
            <v>0</v>
          </cell>
          <cell r="CO937">
            <v>0</v>
          </cell>
          <cell r="CP937">
            <v>0</v>
          </cell>
          <cell r="CS937">
            <v>0</v>
          </cell>
          <cell r="CU937">
            <v>0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B937">
            <v>0</v>
          </cell>
          <cell r="DC937">
            <v>0</v>
          </cell>
          <cell r="DD937">
            <v>0</v>
          </cell>
          <cell r="DE937">
            <v>0</v>
          </cell>
          <cell r="DF937">
            <v>0</v>
          </cell>
          <cell r="DG937">
            <v>0</v>
          </cell>
          <cell r="DH937">
            <v>0</v>
          </cell>
          <cell r="DL937">
            <v>0</v>
          </cell>
          <cell r="DM937">
            <v>0</v>
          </cell>
          <cell r="DO937">
            <v>0</v>
          </cell>
          <cell r="DQ937">
            <v>0</v>
          </cell>
          <cell r="DW937">
            <v>0</v>
          </cell>
          <cell r="DX937">
            <v>0</v>
          </cell>
          <cell r="DY937">
            <v>0</v>
          </cell>
          <cell r="DZ937">
            <v>0</v>
          </cell>
          <cell r="EA937">
            <v>0</v>
          </cell>
          <cell r="EB937">
            <v>0</v>
          </cell>
          <cell r="EC937">
            <v>0</v>
          </cell>
        </row>
        <row r="938"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R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BA938">
            <v>0</v>
          </cell>
          <cell r="BB938">
            <v>0</v>
          </cell>
          <cell r="BH938">
            <v>0</v>
          </cell>
          <cell r="BI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U938">
            <v>0</v>
          </cell>
          <cell r="BV938">
            <v>0</v>
          </cell>
          <cell r="BW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  <cell r="CN938">
            <v>0</v>
          </cell>
          <cell r="CO938">
            <v>0</v>
          </cell>
          <cell r="CP938">
            <v>0</v>
          </cell>
          <cell r="CS938">
            <v>0</v>
          </cell>
          <cell r="CU938">
            <v>0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B938">
            <v>0</v>
          </cell>
          <cell r="DC938">
            <v>0</v>
          </cell>
          <cell r="DD938">
            <v>0</v>
          </cell>
          <cell r="DE938">
            <v>0</v>
          </cell>
          <cell r="DF938">
            <v>0</v>
          </cell>
          <cell r="DG938">
            <v>0</v>
          </cell>
          <cell r="DH938">
            <v>0</v>
          </cell>
          <cell r="DL938">
            <v>0</v>
          </cell>
          <cell r="DM938">
            <v>0</v>
          </cell>
          <cell r="DO938">
            <v>0</v>
          </cell>
          <cell r="DQ938">
            <v>0</v>
          </cell>
          <cell r="DW938">
            <v>0</v>
          </cell>
          <cell r="DX938">
            <v>0</v>
          </cell>
          <cell r="DY938">
            <v>0</v>
          </cell>
          <cell r="DZ938">
            <v>0</v>
          </cell>
          <cell r="EA938">
            <v>0</v>
          </cell>
          <cell r="EB938">
            <v>0</v>
          </cell>
          <cell r="EC938">
            <v>0</v>
          </cell>
        </row>
        <row r="939"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R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BA939">
            <v>0</v>
          </cell>
          <cell r="BB939">
            <v>0</v>
          </cell>
          <cell r="BH939">
            <v>0</v>
          </cell>
          <cell r="BI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U939">
            <v>0</v>
          </cell>
          <cell r="BV939">
            <v>0</v>
          </cell>
          <cell r="BW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  <cell r="CN939">
            <v>0</v>
          </cell>
          <cell r="CO939">
            <v>0</v>
          </cell>
          <cell r="CP939">
            <v>0</v>
          </cell>
          <cell r="CS939">
            <v>0</v>
          </cell>
          <cell r="CU939">
            <v>0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B939">
            <v>0</v>
          </cell>
          <cell r="DC939">
            <v>0</v>
          </cell>
          <cell r="DD939">
            <v>0</v>
          </cell>
          <cell r="DE939">
            <v>0</v>
          </cell>
          <cell r="DF939">
            <v>0</v>
          </cell>
          <cell r="DG939">
            <v>0</v>
          </cell>
          <cell r="DH939">
            <v>0</v>
          </cell>
          <cell r="DL939">
            <v>0</v>
          </cell>
          <cell r="DM939">
            <v>0</v>
          </cell>
          <cell r="DO939">
            <v>0</v>
          </cell>
          <cell r="DQ939">
            <v>0</v>
          </cell>
          <cell r="DW939">
            <v>0</v>
          </cell>
          <cell r="DX939">
            <v>0</v>
          </cell>
          <cell r="DY939">
            <v>0</v>
          </cell>
          <cell r="DZ939">
            <v>0</v>
          </cell>
          <cell r="EA939">
            <v>0</v>
          </cell>
          <cell r="EB939">
            <v>0</v>
          </cell>
          <cell r="EC939">
            <v>0</v>
          </cell>
        </row>
        <row r="940"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R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BA940">
            <v>0</v>
          </cell>
          <cell r="BB940">
            <v>0</v>
          </cell>
          <cell r="BH940">
            <v>0</v>
          </cell>
          <cell r="BI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U940">
            <v>0</v>
          </cell>
          <cell r="BV940">
            <v>0</v>
          </cell>
          <cell r="BW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  <cell r="CN940">
            <v>0</v>
          </cell>
          <cell r="CO940">
            <v>0</v>
          </cell>
          <cell r="CP940">
            <v>0</v>
          </cell>
          <cell r="CS940">
            <v>0</v>
          </cell>
          <cell r="CU940">
            <v>0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B940">
            <v>0</v>
          </cell>
          <cell r="DC940">
            <v>0</v>
          </cell>
          <cell r="DD940">
            <v>0</v>
          </cell>
          <cell r="DE940">
            <v>0</v>
          </cell>
          <cell r="DF940">
            <v>0</v>
          </cell>
          <cell r="DG940">
            <v>0</v>
          </cell>
          <cell r="DH940">
            <v>0</v>
          </cell>
          <cell r="DL940">
            <v>0</v>
          </cell>
          <cell r="DM940">
            <v>0</v>
          </cell>
          <cell r="DO940">
            <v>0</v>
          </cell>
          <cell r="DQ940">
            <v>0</v>
          </cell>
          <cell r="DW940">
            <v>0</v>
          </cell>
          <cell r="DX940">
            <v>0</v>
          </cell>
          <cell r="DY940">
            <v>0</v>
          </cell>
          <cell r="DZ940">
            <v>0</v>
          </cell>
          <cell r="EA940">
            <v>0</v>
          </cell>
          <cell r="EB940">
            <v>0</v>
          </cell>
          <cell r="EC940">
            <v>0</v>
          </cell>
        </row>
        <row r="941"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R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BA941">
            <v>0</v>
          </cell>
          <cell r="BB941">
            <v>0</v>
          </cell>
          <cell r="BH941">
            <v>0</v>
          </cell>
          <cell r="BI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U941">
            <v>0</v>
          </cell>
          <cell r="BV941">
            <v>0</v>
          </cell>
          <cell r="BW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  <cell r="CN941">
            <v>0</v>
          </cell>
          <cell r="CO941">
            <v>0</v>
          </cell>
          <cell r="CP941">
            <v>0</v>
          </cell>
          <cell r="CS941">
            <v>0</v>
          </cell>
          <cell r="CU941">
            <v>0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B941">
            <v>0</v>
          </cell>
          <cell r="DC941">
            <v>0</v>
          </cell>
          <cell r="DD941">
            <v>0</v>
          </cell>
          <cell r="DE941">
            <v>0</v>
          </cell>
          <cell r="DF941">
            <v>0</v>
          </cell>
          <cell r="DG941">
            <v>0</v>
          </cell>
          <cell r="DH941">
            <v>0</v>
          </cell>
          <cell r="DL941">
            <v>0</v>
          </cell>
          <cell r="DM941">
            <v>0</v>
          </cell>
          <cell r="DO941">
            <v>0</v>
          </cell>
          <cell r="DQ941">
            <v>0</v>
          </cell>
          <cell r="DW941">
            <v>0</v>
          </cell>
          <cell r="DX941">
            <v>0</v>
          </cell>
          <cell r="DY941">
            <v>0</v>
          </cell>
          <cell r="DZ941">
            <v>0</v>
          </cell>
          <cell r="EA941">
            <v>0</v>
          </cell>
          <cell r="EB941">
            <v>0</v>
          </cell>
          <cell r="EC941">
            <v>0</v>
          </cell>
        </row>
        <row r="942"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R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BA942">
            <v>0</v>
          </cell>
          <cell r="BB942">
            <v>0</v>
          </cell>
          <cell r="BH942">
            <v>0</v>
          </cell>
          <cell r="BI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U942">
            <v>0</v>
          </cell>
          <cell r="BV942">
            <v>0</v>
          </cell>
          <cell r="BW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  <cell r="CN942">
            <v>0</v>
          </cell>
          <cell r="CO942">
            <v>0</v>
          </cell>
          <cell r="CP942">
            <v>0</v>
          </cell>
          <cell r="CS942">
            <v>0</v>
          </cell>
          <cell r="CU942">
            <v>0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B942">
            <v>0</v>
          </cell>
          <cell r="DC942">
            <v>0</v>
          </cell>
          <cell r="DD942">
            <v>0</v>
          </cell>
          <cell r="DE942">
            <v>0</v>
          </cell>
          <cell r="DF942">
            <v>0</v>
          </cell>
          <cell r="DG942">
            <v>0</v>
          </cell>
          <cell r="DH942">
            <v>0</v>
          </cell>
          <cell r="DL942">
            <v>0</v>
          </cell>
          <cell r="DM942">
            <v>0</v>
          </cell>
          <cell r="DO942">
            <v>0</v>
          </cell>
          <cell r="DQ942">
            <v>0</v>
          </cell>
          <cell r="DW942">
            <v>0</v>
          </cell>
          <cell r="DX942">
            <v>0</v>
          </cell>
          <cell r="DY942">
            <v>0</v>
          </cell>
          <cell r="DZ942">
            <v>0</v>
          </cell>
          <cell r="EA942">
            <v>0</v>
          </cell>
          <cell r="EB942">
            <v>0</v>
          </cell>
          <cell r="EC942">
            <v>0</v>
          </cell>
        </row>
        <row r="943"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R943">
            <v>0</v>
          </cell>
          <cell r="V943">
            <v>1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BA943">
            <v>0</v>
          </cell>
          <cell r="BB943">
            <v>0</v>
          </cell>
          <cell r="BH943">
            <v>0</v>
          </cell>
          <cell r="BI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U943">
            <v>0</v>
          </cell>
          <cell r="BV943">
            <v>0</v>
          </cell>
          <cell r="BW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  <cell r="CN943">
            <v>0</v>
          </cell>
          <cell r="CO943">
            <v>0</v>
          </cell>
          <cell r="CP943">
            <v>0</v>
          </cell>
          <cell r="CS943">
            <v>0</v>
          </cell>
          <cell r="CU943">
            <v>0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B943">
            <v>0</v>
          </cell>
          <cell r="DC943">
            <v>0</v>
          </cell>
          <cell r="DD943">
            <v>0</v>
          </cell>
          <cell r="DE943">
            <v>0</v>
          </cell>
          <cell r="DF943">
            <v>0</v>
          </cell>
          <cell r="DG943">
            <v>0</v>
          </cell>
          <cell r="DH943">
            <v>0</v>
          </cell>
          <cell r="DL943">
            <v>0</v>
          </cell>
          <cell r="DM943">
            <v>0</v>
          </cell>
          <cell r="DO943">
            <v>0</v>
          </cell>
          <cell r="DQ943">
            <v>0</v>
          </cell>
          <cell r="DW943">
            <v>0</v>
          </cell>
          <cell r="DX943">
            <v>0</v>
          </cell>
          <cell r="DY943">
            <v>0</v>
          </cell>
          <cell r="DZ943">
            <v>0</v>
          </cell>
          <cell r="EA943">
            <v>0</v>
          </cell>
          <cell r="EB943">
            <v>0</v>
          </cell>
          <cell r="EC943">
            <v>0</v>
          </cell>
        </row>
        <row r="944"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R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BA944">
            <v>0</v>
          </cell>
          <cell r="BB944">
            <v>0</v>
          </cell>
          <cell r="BH944">
            <v>0</v>
          </cell>
          <cell r="BI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U944">
            <v>0</v>
          </cell>
          <cell r="BV944">
            <v>0</v>
          </cell>
          <cell r="BW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  <cell r="CN944">
            <v>0</v>
          </cell>
          <cell r="CO944">
            <v>0</v>
          </cell>
          <cell r="CP944">
            <v>0</v>
          </cell>
          <cell r="CS944">
            <v>0</v>
          </cell>
          <cell r="CU944">
            <v>0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B944">
            <v>0</v>
          </cell>
          <cell r="DC944">
            <v>0</v>
          </cell>
          <cell r="DD944">
            <v>0</v>
          </cell>
          <cell r="DE944">
            <v>0</v>
          </cell>
          <cell r="DF944">
            <v>0</v>
          </cell>
          <cell r="DG944">
            <v>0</v>
          </cell>
          <cell r="DH944">
            <v>0</v>
          </cell>
          <cell r="DL944">
            <v>0</v>
          </cell>
          <cell r="DM944">
            <v>0</v>
          </cell>
          <cell r="DO944">
            <v>0</v>
          </cell>
          <cell r="DQ944">
            <v>0</v>
          </cell>
          <cell r="DW944">
            <v>0</v>
          </cell>
          <cell r="DX944">
            <v>0</v>
          </cell>
          <cell r="DY944">
            <v>0</v>
          </cell>
          <cell r="DZ944">
            <v>0</v>
          </cell>
          <cell r="EA944">
            <v>0</v>
          </cell>
          <cell r="EB944">
            <v>0</v>
          </cell>
          <cell r="EC944">
            <v>0</v>
          </cell>
        </row>
        <row r="945"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R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BA945">
            <v>0</v>
          </cell>
          <cell r="BB945">
            <v>0</v>
          </cell>
          <cell r="BH945">
            <v>0</v>
          </cell>
          <cell r="BI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U945">
            <v>0</v>
          </cell>
          <cell r="BV945">
            <v>0</v>
          </cell>
          <cell r="BW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  <cell r="CN945">
            <v>0</v>
          </cell>
          <cell r="CO945">
            <v>0</v>
          </cell>
          <cell r="CP945">
            <v>0</v>
          </cell>
          <cell r="CS945">
            <v>0</v>
          </cell>
          <cell r="CU945">
            <v>0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B945">
            <v>0</v>
          </cell>
          <cell r="DC945">
            <v>0</v>
          </cell>
          <cell r="DD945">
            <v>0</v>
          </cell>
          <cell r="DE945">
            <v>0</v>
          </cell>
          <cell r="DF945">
            <v>0</v>
          </cell>
          <cell r="DG945">
            <v>0</v>
          </cell>
          <cell r="DH945">
            <v>0</v>
          </cell>
          <cell r="DL945">
            <v>0</v>
          </cell>
          <cell r="DM945">
            <v>0</v>
          </cell>
          <cell r="DO945">
            <v>0</v>
          </cell>
          <cell r="DQ945">
            <v>0</v>
          </cell>
          <cell r="DW945">
            <v>0</v>
          </cell>
          <cell r="DX945">
            <v>0</v>
          </cell>
          <cell r="DY945">
            <v>0</v>
          </cell>
          <cell r="DZ945">
            <v>0</v>
          </cell>
          <cell r="EA945">
            <v>0</v>
          </cell>
          <cell r="EB945">
            <v>0</v>
          </cell>
          <cell r="EC945">
            <v>0</v>
          </cell>
        </row>
        <row r="946"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R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BA946">
            <v>0</v>
          </cell>
          <cell r="BB946">
            <v>0</v>
          </cell>
          <cell r="BH946">
            <v>0</v>
          </cell>
          <cell r="BI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U946">
            <v>0</v>
          </cell>
          <cell r="BV946">
            <v>0</v>
          </cell>
          <cell r="BW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H946">
            <v>0</v>
          </cell>
          <cell r="CI946">
            <v>0</v>
          </cell>
          <cell r="CJ946">
            <v>0</v>
          </cell>
          <cell r="CK946">
            <v>0</v>
          </cell>
          <cell r="CN946">
            <v>0</v>
          </cell>
          <cell r="CO946">
            <v>0</v>
          </cell>
          <cell r="CP946">
            <v>0</v>
          </cell>
          <cell r="CS946">
            <v>0</v>
          </cell>
          <cell r="CU946">
            <v>0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B946">
            <v>0</v>
          </cell>
          <cell r="DC946">
            <v>0</v>
          </cell>
          <cell r="DD946">
            <v>0</v>
          </cell>
          <cell r="DE946">
            <v>0</v>
          </cell>
          <cell r="DF946">
            <v>0</v>
          </cell>
          <cell r="DG946">
            <v>0</v>
          </cell>
          <cell r="DH946">
            <v>0</v>
          </cell>
          <cell r="DL946">
            <v>0</v>
          </cell>
          <cell r="DM946">
            <v>0</v>
          </cell>
          <cell r="DO946">
            <v>0</v>
          </cell>
          <cell r="DQ946">
            <v>0</v>
          </cell>
          <cell r="DW946">
            <v>0</v>
          </cell>
          <cell r="DX946">
            <v>0</v>
          </cell>
          <cell r="DY946">
            <v>0</v>
          </cell>
          <cell r="DZ946">
            <v>0</v>
          </cell>
          <cell r="EA946">
            <v>0</v>
          </cell>
          <cell r="EB946">
            <v>0</v>
          </cell>
          <cell r="EC946">
            <v>0</v>
          </cell>
        </row>
        <row r="947"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R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BA947">
            <v>1</v>
          </cell>
          <cell r="BB947">
            <v>1</v>
          </cell>
          <cell r="BH947">
            <v>0</v>
          </cell>
          <cell r="BI947">
            <v>0</v>
          </cell>
          <cell r="BL947">
            <v>1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U947">
            <v>0</v>
          </cell>
          <cell r="BV947">
            <v>0</v>
          </cell>
          <cell r="BW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0</v>
          </cell>
          <cell r="CD947">
            <v>0</v>
          </cell>
          <cell r="CE947">
            <v>0</v>
          </cell>
          <cell r="CH947">
            <v>0</v>
          </cell>
          <cell r="CI947">
            <v>0</v>
          </cell>
          <cell r="CJ947">
            <v>0</v>
          </cell>
          <cell r="CK947">
            <v>0</v>
          </cell>
          <cell r="CN947">
            <v>0</v>
          </cell>
          <cell r="CO947">
            <v>0</v>
          </cell>
          <cell r="CP947">
            <v>0</v>
          </cell>
          <cell r="CS947">
            <v>0</v>
          </cell>
          <cell r="CU947">
            <v>0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B947">
            <v>0</v>
          </cell>
          <cell r="DC947">
            <v>0</v>
          </cell>
          <cell r="DD947">
            <v>0</v>
          </cell>
          <cell r="DE947">
            <v>0</v>
          </cell>
          <cell r="DF947">
            <v>0</v>
          </cell>
          <cell r="DG947">
            <v>0</v>
          </cell>
          <cell r="DH947">
            <v>0</v>
          </cell>
          <cell r="DL947">
            <v>0</v>
          </cell>
          <cell r="DM947">
            <v>0</v>
          </cell>
          <cell r="DO947">
            <v>0</v>
          </cell>
          <cell r="DQ947">
            <v>0</v>
          </cell>
          <cell r="DW947">
            <v>0</v>
          </cell>
          <cell r="DX947">
            <v>0</v>
          </cell>
          <cell r="DY947">
            <v>0</v>
          </cell>
          <cell r="DZ947">
            <v>0</v>
          </cell>
          <cell r="EA947">
            <v>0</v>
          </cell>
          <cell r="EB947">
            <v>0</v>
          </cell>
          <cell r="EC947">
            <v>0</v>
          </cell>
        </row>
        <row r="948"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R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BA948">
            <v>0</v>
          </cell>
          <cell r="BB948">
            <v>0</v>
          </cell>
          <cell r="BH948">
            <v>0</v>
          </cell>
          <cell r="BI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U948">
            <v>0</v>
          </cell>
          <cell r="BV948">
            <v>0</v>
          </cell>
          <cell r="BW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H948">
            <v>0</v>
          </cell>
          <cell r="CI948">
            <v>0</v>
          </cell>
          <cell r="CJ948">
            <v>0</v>
          </cell>
          <cell r="CK948">
            <v>0</v>
          </cell>
          <cell r="CN948">
            <v>0</v>
          </cell>
          <cell r="CO948">
            <v>0</v>
          </cell>
          <cell r="CP948">
            <v>0</v>
          </cell>
          <cell r="CS948">
            <v>0</v>
          </cell>
          <cell r="CU948">
            <v>0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B948">
            <v>0</v>
          </cell>
          <cell r="DC948">
            <v>0</v>
          </cell>
          <cell r="DD948">
            <v>0</v>
          </cell>
          <cell r="DE948">
            <v>0</v>
          </cell>
          <cell r="DF948">
            <v>0</v>
          </cell>
          <cell r="DG948">
            <v>0</v>
          </cell>
          <cell r="DH948">
            <v>0</v>
          </cell>
          <cell r="DL948">
            <v>0</v>
          </cell>
          <cell r="DM948">
            <v>0</v>
          </cell>
          <cell r="DO948">
            <v>0</v>
          </cell>
          <cell r="DQ948">
            <v>0</v>
          </cell>
          <cell r="DW948">
            <v>0</v>
          </cell>
          <cell r="DX948">
            <v>0</v>
          </cell>
          <cell r="DY948">
            <v>0</v>
          </cell>
          <cell r="DZ948">
            <v>0</v>
          </cell>
          <cell r="EA948">
            <v>0</v>
          </cell>
          <cell r="EB948">
            <v>0</v>
          </cell>
          <cell r="EC948">
            <v>0</v>
          </cell>
        </row>
        <row r="949"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R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BA949">
            <v>0</v>
          </cell>
          <cell r="BB949">
            <v>0</v>
          </cell>
          <cell r="BH949">
            <v>0</v>
          </cell>
          <cell r="BI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U949">
            <v>0</v>
          </cell>
          <cell r="BV949">
            <v>0</v>
          </cell>
          <cell r="BW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H949">
            <v>0</v>
          </cell>
          <cell r="CI949">
            <v>0</v>
          </cell>
          <cell r="CJ949">
            <v>0</v>
          </cell>
          <cell r="CK949">
            <v>0</v>
          </cell>
          <cell r="CN949">
            <v>0</v>
          </cell>
          <cell r="CO949">
            <v>0</v>
          </cell>
          <cell r="CP949">
            <v>0</v>
          </cell>
          <cell r="CS949">
            <v>0</v>
          </cell>
          <cell r="CU949">
            <v>0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B949">
            <v>0</v>
          </cell>
          <cell r="DC949">
            <v>0</v>
          </cell>
          <cell r="DD949">
            <v>0</v>
          </cell>
          <cell r="DE949">
            <v>0</v>
          </cell>
          <cell r="DF949">
            <v>0</v>
          </cell>
          <cell r="DG949">
            <v>0</v>
          </cell>
          <cell r="DH949">
            <v>0</v>
          </cell>
          <cell r="DL949">
            <v>0</v>
          </cell>
          <cell r="DM949">
            <v>0</v>
          </cell>
          <cell r="DO949">
            <v>0</v>
          </cell>
          <cell r="DQ949">
            <v>0</v>
          </cell>
          <cell r="DW949">
            <v>0</v>
          </cell>
          <cell r="DX949">
            <v>0</v>
          </cell>
          <cell r="DY949">
            <v>0</v>
          </cell>
          <cell r="DZ949">
            <v>0</v>
          </cell>
          <cell r="EA949">
            <v>0</v>
          </cell>
          <cell r="EB949">
            <v>0</v>
          </cell>
          <cell r="EC949">
            <v>0</v>
          </cell>
        </row>
        <row r="950"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R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BA950">
            <v>0</v>
          </cell>
          <cell r="BB950">
            <v>0</v>
          </cell>
          <cell r="BH950">
            <v>0</v>
          </cell>
          <cell r="BI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U950">
            <v>0</v>
          </cell>
          <cell r="BV950">
            <v>0</v>
          </cell>
          <cell r="BW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  <cell r="CN950">
            <v>0</v>
          </cell>
          <cell r="CO950">
            <v>0</v>
          </cell>
          <cell r="CP950">
            <v>0</v>
          </cell>
          <cell r="CS950">
            <v>0</v>
          </cell>
          <cell r="CU950">
            <v>0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B950">
            <v>0</v>
          </cell>
          <cell r="DC950">
            <v>0</v>
          </cell>
          <cell r="DD950">
            <v>0</v>
          </cell>
          <cell r="DE950">
            <v>0</v>
          </cell>
          <cell r="DF950">
            <v>0</v>
          </cell>
          <cell r="DG950">
            <v>0</v>
          </cell>
          <cell r="DH950">
            <v>0</v>
          </cell>
          <cell r="DL950">
            <v>0</v>
          </cell>
          <cell r="DM950">
            <v>0</v>
          </cell>
          <cell r="DO950">
            <v>0</v>
          </cell>
          <cell r="DQ950">
            <v>0</v>
          </cell>
          <cell r="DW950">
            <v>0</v>
          </cell>
          <cell r="DX950">
            <v>0</v>
          </cell>
          <cell r="DY950">
            <v>0</v>
          </cell>
          <cell r="DZ950">
            <v>0</v>
          </cell>
          <cell r="EA950">
            <v>0</v>
          </cell>
          <cell r="EB950">
            <v>0</v>
          </cell>
          <cell r="EC950">
            <v>0</v>
          </cell>
        </row>
        <row r="951"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R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BA951">
            <v>0</v>
          </cell>
          <cell r="BB951">
            <v>0</v>
          </cell>
          <cell r="BH951">
            <v>0</v>
          </cell>
          <cell r="BI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U951">
            <v>0</v>
          </cell>
          <cell r="BV951">
            <v>0</v>
          </cell>
          <cell r="BW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  <cell r="CN951">
            <v>0</v>
          </cell>
          <cell r="CO951">
            <v>0</v>
          </cell>
          <cell r="CP951">
            <v>0</v>
          </cell>
          <cell r="CS951">
            <v>0</v>
          </cell>
          <cell r="CU951">
            <v>0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B951">
            <v>0</v>
          </cell>
          <cell r="DC951">
            <v>0</v>
          </cell>
          <cell r="DD951">
            <v>0</v>
          </cell>
          <cell r="DE951">
            <v>0</v>
          </cell>
          <cell r="DF951">
            <v>0</v>
          </cell>
          <cell r="DG951">
            <v>0</v>
          </cell>
          <cell r="DH951">
            <v>0</v>
          </cell>
          <cell r="DL951">
            <v>0</v>
          </cell>
          <cell r="DM951">
            <v>0</v>
          </cell>
          <cell r="DO951">
            <v>0</v>
          </cell>
          <cell r="DQ951">
            <v>0</v>
          </cell>
          <cell r="DW951">
            <v>0</v>
          </cell>
          <cell r="DX951">
            <v>0</v>
          </cell>
          <cell r="DY951">
            <v>0</v>
          </cell>
          <cell r="DZ951">
            <v>0</v>
          </cell>
          <cell r="EA951">
            <v>0</v>
          </cell>
          <cell r="EB951">
            <v>0</v>
          </cell>
          <cell r="EC951">
            <v>0</v>
          </cell>
        </row>
        <row r="952"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R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BA952">
            <v>0</v>
          </cell>
          <cell r="BB952">
            <v>0</v>
          </cell>
          <cell r="BH952">
            <v>0</v>
          </cell>
          <cell r="BI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U952">
            <v>0</v>
          </cell>
          <cell r="BV952">
            <v>0</v>
          </cell>
          <cell r="BW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  <cell r="CN952">
            <v>0</v>
          </cell>
          <cell r="CO952">
            <v>0</v>
          </cell>
          <cell r="CP952">
            <v>0</v>
          </cell>
          <cell r="CS952">
            <v>0</v>
          </cell>
          <cell r="CU952">
            <v>0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B952">
            <v>0</v>
          </cell>
          <cell r="DC952">
            <v>0</v>
          </cell>
          <cell r="DD952">
            <v>0</v>
          </cell>
          <cell r="DE952">
            <v>0</v>
          </cell>
          <cell r="DF952">
            <v>0</v>
          </cell>
          <cell r="DG952">
            <v>0</v>
          </cell>
          <cell r="DH952">
            <v>0</v>
          </cell>
          <cell r="DL952">
            <v>0</v>
          </cell>
          <cell r="DM952">
            <v>0</v>
          </cell>
          <cell r="DO952">
            <v>0</v>
          </cell>
          <cell r="DQ952">
            <v>0</v>
          </cell>
          <cell r="DW952">
            <v>0</v>
          </cell>
          <cell r="DX952">
            <v>0</v>
          </cell>
          <cell r="DY952">
            <v>0</v>
          </cell>
          <cell r="DZ952">
            <v>0</v>
          </cell>
          <cell r="EA952">
            <v>0</v>
          </cell>
          <cell r="EB952">
            <v>0</v>
          </cell>
          <cell r="EC952">
            <v>0</v>
          </cell>
        </row>
        <row r="953"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R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BA953">
            <v>0</v>
          </cell>
          <cell r="BB953">
            <v>0</v>
          </cell>
          <cell r="BH953">
            <v>0</v>
          </cell>
          <cell r="BI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U953">
            <v>0</v>
          </cell>
          <cell r="BV953">
            <v>0</v>
          </cell>
          <cell r="BW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  <cell r="CN953">
            <v>0</v>
          </cell>
          <cell r="CO953">
            <v>0</v>
          </cell>
          <cell r="CP953">
            <v>0</v>
          </cell>
          <cell r="CS953">
            <v>0</v>
          </cell>
          <cell r="CU953">
            <v>0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B953">
            <v>0</v>
          </cell>
          <cell r="DC953">
            <v>0</v>
          </cell>
          <cell r="DD953">
            <v>0</v>
          </cell>
          <cell r="DE953">
            <v>0</v>
          </cell>
          <cell r="DF953">
            <v>0</v>
          </cell>
          <cell r="DG953">
            <v>0</v>
          </cell>
          <cell r="DH953">
            <v>0</v>
          </cell>
          <cell r="DL953">
            <v>0</v>
          </cell>
          <cell r="DM953">
            <v>0</v>
          </cell>
          <cell r="DO953">
            <v>0</v>
          </cell>
          <cell r="DQ953">
            <v>0</v>
          </cell>
          <cell r="DW953">
            <v>0</v>
          </cell>
          <cell r="DX953">
            <v>0</v>
          </cell>
          <cell r="DY953">
            <v>0</v>
          </cell>
          <cell r="DZ953">
            <v>0</v>
          </cell>
          <cell r="EA953">
            <v>0</v>
          </cell>
          <cell r="EB953">
            <v>0</v>
          </cell>
          <cell r="EC953">
            <v>0</v>
          </cell>
        </row>
        <row r="954"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R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BA954">
            <v>0</v>
          </cell>
          <cell r="BB954">
            <v>0</v>
          </cell>
          <cell r="BH954">
            <v>0</v>
          </cell>
          <cell r="BI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1</v>
          </cell>
          <cell r="BR954">
            <v>0</v>
          </cell>
          <cell r="BS954">
            <v>1</v>
          </cell>
          <cell r="BU954">
            <v>0</v>
          </cell>
          <cell r="BV954">
            <v>0</v>
          </cell>
          <cell r="BW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  <cell r="CN954">
            <v>0</v>
          </cell>
          <cell r="CO954">
            <v>0</v>
          </cell>
          <cell r="CP954">
            <v>0</v>
          </cell>
          <cell r="CS954">
            <v>0</v>
          </cell>
          <cell r="CU954">
            <v>0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B954">
            <v>0</v>
          </cell>
          <cell r="DC954">
            <v>0</v>
          </cell>
          <cell r="DD954">
            <v>0</v>
          </cell>
          <cell r="DE954">
            <v>0</v>
          </cell>
          <cell r="DF954">
            <v>0</v>
          </cell>
          <cell r="DG954">
            <v>0</v>
          </cell>
          <cell r="DH954">
            <v>0</v>
          </cell>
          <cell r="DL954">
            <v>0</v>
          </cell>
          <cell r="DM954">
            <v>0</v>
          </cell>
          <cell r="DO954">
            <v>0</v>
          </cell>
          <cell r="DQ954">
            <v>0</v>
          </cell>
          <cell r="DW954">
            <v>0</v>
          </cell>
          <cell r="DX954">
            <v>0</v>
          </cell>
          <cell r="DY954">
            <v>0</v>
          </cell>
          <cell r="DZ954">
            <v>0</v>
          </cell>
          <cell r="EA954">
            <v>0</v>
          </cell>
          <cell r="EB954">
            <v>0</v>
          </cell>
          <cell r="EC954">
            <v>0</v>
          </cell>
        </row>
        <row r="955"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R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BA955">
            <v>0</v>
          </cell>
          <cell r="BB955">
            <v>0</v>
          </cell>
          <cell r="BH955">
            <v>0</v>
          </cell>
          <cell r="BI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U955">
            <v>0</v>
          </cell>
          <cell r="BV955">
            <v>0</v>
          </cell>
          <cell r="BW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  <cell r="CN955">
            <v>0</v>
          </cell>
          <cell r="CO955">
            <v>0</v>
          </cell>
          <cell r="CP955">
            <v>0</v>
          </cell>
          <cell r="CS955">
            <v>0</v>
          </cell>
          <cell r="CU955">
            <v>0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B955">
            <v>0</v>
          </cell>
          <cell r="DC955">
            <v>0</v>
          </cell>
          <cell r="DD955">
            <v>0</v>
          </cell>
          <cell r="DE955">
            <v>0</v>
          </cell>
          <cell r="DF955">
            <v>0</v>
          </cell>
          <cell r="DG955">
            <v>0</v>
          </cell>
          <cell r="DH955">
            <v>0</v>
          </cell>
          <cell r="DL955">
            <v>0</v>
          </cell>
          <cell r="DM955">
            <v>0</v>
          </cell>
          <cell r="DO955">
            <v>0</v>
          </cell>
          <cell r="DQ955">
            <v>0</v>
          </cell>
          <cell r="DW955">
            <v>0</v>
          </cell>
          <cell r="DX955">
            <v>0</v>
          </cell>
          <cell r="DY955">
            <v>0</v>
          </cell>
          <cell r="DZ955">
            <v>0</v>
          </cell>
          <cell r="EA955">
            <v>0</v>
          </cell>
          <cell r="EB955">
            <v>0</v>
          </cell>
          <cell r="EC955">
            <v>0</v>
          </cell>
        </row>
        <row r="956"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R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BA956">
            <v>0</v>
          </cell>
          <cell r="BB956">
            <v>0</v>
          </cell>
          <cell r="BH956">
            <v>0</v>
          </cell>
          <cell r="BI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U956">
            <v>0</v>
          </cell>
          <cell r="BV956">
            <v>0</v>
          </cell>
          <cell r="BW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  <cell r="CN956">
            <v>0</v>
          </cell>
          <cell r="CO956">
            <v>0</v>
          </cell>
          <cell r="CP956">
            <v>0</v>
          </cell>
          <cell r="CS956">
            <v>0</v>
          </cell>
          <cell r="CU956">
            <v>0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B956">
            <v>0</v>
          </cell>
          <cell r="DC956">
            <v>0</v>
          </cell>
          <cell r="DD956">
            <v>0</v>
          </cell>
          <cell r="DE956">
            <v>0</v>
          </cell>
          <cell r="DF956">
            <v>0</v>
          </cell>
          <cell r="DG956">
            <v>0</v>
          </cell>
          <cell r="DH956">
            <v>0</v>
          </cell>
          <cell r="DL956">
            <v>0</v>
          </cell>
          <cell r="DM956">
            <v>0</v>
          </cell>
          <cell r="DO956">
            <v>0</v>
          </cell>
          <cell r="DQ956">
            <v>0</v>
          </cell>
          <cell r="DW956">
            <v>0</v>
          </cell>
          <cell r="DX956">
            <v>0</v>
          </cell>
          <cell r="DY956">
            <v>0</v>
          </cell>
          <cell r="DZ956">
            <v>0</v>
          </cell>
          <cell r="EA956">
            <v>0</v>
          </cell>
          <cell r="EB956">
            <v>0</v>
          </cell>
          <cell r="EC956">
            <v>0</v>
          </cell>
        </row>
        <row r="957"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R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BA957">
            <v>0</v>
          </cell>
          <cell r="BB957">
            <v>0</v>
          </cell>
          <cell r="BH957">
            <v>0</v>
          </cell>
          <cell r="BI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U957">
            <v>0</v>
          </cell>
          <cell r="BV957">
            <v>0</v>
          </cell>
          <cell r="BW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  <cell r="CN957">
            <v>0</v>
          </cell>
          <cell r="CO957">
            <v>0</v>
          </cell>
          <cell r="CP957">
            <v>0</v>
          </cell>
          <cell r="CS957">
            <v>0</v>
          </cell>
          <cell r="CU957">
            <v>0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B957">
            <v>0</v>
          </cell>
          <cell r="DC957">
            <v>0</v>
          </cell>
          <cell r="DD957">
            <v>0</v>
          </cell>
          <cell r="DE957">
            <v>0</v>
          </cell>
          <cell r="DF957">
            <v>0</v>
          </cell>
          <cell r="DG957">
            <v>0</v>
          </cell>
          <cell r="DH957">
            <v>0</v>
          </cell>
          <cell r="DL957">
            <v>0</v>
          </cell>
          <cell r="DM957">
            <v>0</v>
          </cell>
          <cell r="DO957">
            <v>0</v>
          </cell>
          <cell r="DQ957">
            <v>0</v>
          </cell>
          <cell r="DW957">
            <v>0</v>
          </cell>
          <cell r="DX957">
            <v>0</v>
          </cell>
          <cell r="DY957">
            <v>0</v>
          </cell>
          <cell r="DZ957">
            <v>0</v>
          </cell>
          <cell r="EA957">
            <v>0</v>
          </cell>
          <cell r="EB957">
            <v>0</v>
          </cell>
          <cell r="EC957">
            <v>0</v>
          </cell>
        </row>
        <row r="958">
          <cell r="D958">
            <v>1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R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E958">
            <v>0</v>
          </cell>
          <cell r="AF958">
            <v>0</v>
          </cell>
          <cell r="AG958">
            <v>1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BA958">
            <v>0</v>
          </cell>
          <cell r="BB958">
            <v>0</v>
          </cell>
          <cell r="BH958">
            <v>0</v>
          </cell>
          <cell r="BI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U958">
            <v>0</v>
          </cell>
          <cell r="BV958">
            <v>0</v>
          </cell>
          <cell r="BW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  <cell r="CN958">
            <v>0</v>
          </cell>
          <cell r="CO958">
            <v>0</v>
          </cell>
          <cell r="CP958">
            <v>0</v>
          </cell>
          <cell r="CS958">
            <v>0</v>
          </cell>
          <cell r="CU958">
            <v>0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B958">
            <v>0</v>
          </cell>
          <cell r="DC958">
            <v>0</v>
          </cell>
          <cell r="DD958">
            <v>0</v>
          </cell>
          <cell r="DE958">
            <v>0</v>
          </cell>
          <cell r="DF958">
            <v>0</v>
          </cell>
          <cell r="DG958">
            <v>0</v>
          </cell>
          <cell r="DH958">
            <v>0</v>
          </cell>
          <cell r="DL958">
            <v>0</v>
          </cell>
          <cell r="DM958">
            <v>0</v>
          </cell>
          <cell r="DO958">
            <v>0</v>
          </cell>
          <cell r="DQ958">
            <v>0</v>
          </cell>
          <cell r="DW958">
            <v>0</v>
          </cell>
          <cell r="DX958">
            <v>0</v>
          </cell>
          <cell r="DY958">
            <v>0</v>
          </cell>
          <cell r="DZ958">
            <v>0</v>
          </cell>
          <cell r="EA958">
            <v>0</v>
          </cell>
          <cell r="EB958">
            <v>0</v>
          </cell>
          <cell r="EC958">
            <v>0</v>
          </cell>
        </row>
        <row r="959"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R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E959">
            <v>0</v>
          </cell>
          <cell r="AF959">
            <v>0</v>
          </cell>
          <cell r="AG959">
            <v>2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BA959">
            <v>0</v>
          </cell>
          <cell r="BB959">
            <v>0</v>
          </cell>
          <cell r="BH959">
            <v>0</v>
          </cell>
          <cell r="BI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U959">
            <v>0</v>
          </cell>
          <cell r="BV959">
            <v>0</v>
          </cell>
          <cell r="BW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  <cell r="CN959">
            <v>0</v>
          </cell>
          <cell r="CO959">
            <v>0</v>
          </cell>
          <cell r="CP959">
            <v>0</v>
          </cell>
          <cell r="CS959">
            <v>0</v>
          </cell>
          <cell r="CU959">
            <v>0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B959">
            <v>0</v>
          </cell>
          <cell r="DC959">
            <v>0</v>
          </cell>
          <cell r="DD959">
            <v>0</v>
          </cell>
          <cell r="DE959">
            <v>0</v>
          </cell>
          <cell r="DF959">
            <v>0</v>
          </cell>
          <cell r="DG959">
            <v>0</v>
          </cell>
          <cell r="DH959">
            <v>0</v>
          </cell>
          <cell r="DL959">
            <v>0</v>
          </cell>
          <cell r="DM959">
            <v>0</v>
          </cell>
          <cell r="DO959">
            <v>0</v>
          </cell>
          <cell r="DQ959">
            <v>0</v>
          </cell>
          <cell r="DW959">
            <v>0</v>
          </cell>
          <cell r="DX959">
            <v>0</v>
          </cell>
          <cell r="DY959">
            <v>0</v>
          </cell>
          <cell r="DZ959">
            <v>0</v>
          </cell>
          <cell r="EA959">
            <v>0</v>
          </cell>
          <cell r="EB959">
            <v>0</v>
          </cell>
          <cell r="EC959">
            <v>0</v>
          </cell>
        </row>
        <row r="960"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R960">
            <v>0</v>
          </cell>
          <cell r="V960">
            <v>0</v>
          </cell>
          <cell r="W960">
            <v>0</v>
          </cell>
          <cell r="X960">
            <v>1</v>
          </cell>
          <cell r="Y960">
            <v>1</v>
          </cell>
          <cell r="Z960">
            <v>0</v>
          </cell>
          <cell r="AA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BA960">
            <v>0</v>
          </cell>
          <cell r="BB960">
            <v>0</v>
          </cell>
          <cell r="BH960">
            <v>0</v>
          </cell>
          <cell r="BI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U960">
            <v>0</v>
          </cell>
          <cell r="BV960">
            <v>0</v>
          </cell>
          <cell r="BW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  <cell r="CN960">
            <v>0</v>
          </cell>
          <cell r="CO960">
            <v>0</v>
          </cell>
          <cell r="CP960">
            <v>0</v>
          </cell>
          <cell r="CS960">
            <v>0</v>
          </cell>
          <cell r="CU960">
            <v>0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B960">
            <v>0</v>
          </cell>
          <cell r="DC960">
            <v>0</v>
          </cell>
          <cell r="DD960">
            <v>0</v>
          </cell>
          <cell r="DE960">
            <v>0</v>
          </cell>
          <cell r="DF960">
            <v>0</v>
          </cell>
          <cell r="DG960">
            <v>0</v>
          </cell>
          <cell r="DH960">
            <v>0</v>
          </cell>
          <cell r="DL960">
            <v>0</v>
          </cell>
          <cell r="DM960">
            <v>0</v>
          </cell>
          <cell r="DO960">
            <v>0</v>
          </cell>
          <cell r="DQ960">
            <v>0</v>
          </cell>
          <cell r="DW960">
            <v>0</v>
          </cell>
          <cell r="DX960">
            <v>0</v>
          </cell>
          <cell r="DY960">
            <v>0</v>
          </cell>
          <cell r="DZ960">
            <v>0</v>
          </cell>
          <cell r="EA960">
            <v>0</v>
          </cell>
          <cell r="EB960">
            <v>0</v>
          </cell>
          <cell r="EC960">
            <v>0</v>
          </cell>
        </row>
        <row r="961"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R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BA961">
            <v>0</v>
          </cell>
          <cell r="BB961">
            <v>0</v>
          </cell>
          <cell r="BH961">
            <v>0</v>
          </cell>
          <cell r="BI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U961">
            <v>0</v>
          </cell>
          <cell r="BV961">
            <v>0</v>
          </cell>
          <cell r="BW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N961">
            <v>0</v>
          </cell>
          <cell r="CO961">
            <v>0</v>
          </cell>
          <cell r="CP961">
            <v>0</v>
          </cell>
          <cell r="CS961">
            <v>0</v>
          </cell>
          <cell r="CU961">
            <v>0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B961">
            <v>0</v>
          </cell>
          <cell r="DC961">
            <v>0</v>
          </cell>
          <cell r="DD961">
            <v>0</v>
          </cell>
          <cell r="DE961">
            <v>0</v>
          </cell>
          <cell r="DF961">
            <v>0</v>
          </cell>
          <cell r="DG961">
            <v>0</v>
          </cell>
          <cell r="DH961">
            <v>0</v>
          </cell>
          <cell r="DL961">
            <v>0</v>
          </cell>
          <cell r="DM961">
            <v>0</v>
          </cell>
          <cell r="DO961">
            <v>0</v>
          </cell>
          <cell r="DQ961">
            <v>0</v>
          </cell>
          <cell r="DW961">
            <v>0</v>
          </cell>
          <cell r="DX961">
            <v>0</v>
          </cell>
          <cell r="DY961">
            <v>0</v>
          </cell>
          <cell r="DZ961">
            <v>0</v>
          </cell>
          <cell r="EA961">
            <v>0</v>
          </cell>
          <cell r="EB961">
            <v>0</v>
          </cell>
          <cell r="EC961">
            <v>0</v>
          </cell>
        </row>
        <row r="962"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R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BA962">
            <v>0</v>
          </cell>
          <cell r="BB962">
            <v>0</v>
          </cell>
          <cell r="BH962">
            <v>0</v>
          </cell>
          <cell r="BI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U962">
            <v>0</v>
          </cell>
          <cell r="BV962">
            <v>0</v>
          </cell>
          <cell r="BW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  <cell r="CN962">
            <v>0</v>
          </cell>
          <cell r="CO962">
            <v>0</v>
          </cell>
          <cell r="CP962">
            <v>0</v>
          </cell>
          <cell r="CS962">
            <v>0</v>
          </cell>
          <cell r="CU962">
            <v>0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B962">
            <v>0</v>
          </cell>
          <cell r="DC962">
            <v>0</v>
          </cell>
          <cell r="DD962">
            <v>0</v>
          </cell>
          <cell r="DE962">
            <v>0</v>
          </cell>
          <cell r="DF962">
            <v>0</v>
          </cell>
          <cell r="DG962">
            <v>0</v>
          </cell>
          <cell r="DH962">
            <v>0</v>
          </cell>
          <cell r="DL962">
            <v>0</v>
          </cell>
          <cell r="DM962">
            <v>0</v>
          </cell>
          <cell r="DO962">
            <v>0</v>
          </cell>
          <cell r="DQ962">
            <v>0</v>
          </cell>
          <cell r="DW962">
            <v>0</v>
          </cell>
          <cell r="DX962">
            <v>0</v>
          </cell>
          <cell r="DY962">
            <v>0</v>
          </cell>
          <cell r="DZ962">
            <v>0</v>
          </cell>
          <cell r="EA962">
            <v>0</v>
          </cell>
          <cell r="EB962">
            <v>0</v>
          </cell>
          <cell r="EC962">
            <v>0</v>
          </cell>
        </row>
        <row r="963"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R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BA963">
            <v>0</v>
          </cell>
          <cell r="BB963">
            <v>0</v>
          </cell>
          <cell r="BH963">
            <v>0</v>
          </cell>
          <cell r="BI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U963">
            <v>0</v>
          </cell>
          <cell r="BV963">
            <v>0</v>
          </cell>
          <cell r="BW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  <cell r="CN963">
            <v>0</v>
          </cell>
          <cell r="CO963">
            <v>0</v>
          </cell>
          <cell r="CP963">
            <v>0</v>
          </cell>
          <cell r="CS963">
            <v>0</v>
          </cell>
          <cell r="CU963">
            <v>0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B963">
            <v>0</v>
          </cell>
          <cell r="DC963">
            <v>0</v>
          </cell>
          <cell r="DD963">
            <v>0</v>
          </cell>
          <cell r="DE963">
            <v>0</v>
          </cell>
          <cell r="DF963">
            <v>0</v>
          </cell>
          <cell r="DG963">
            <v>0</v>
          </cell>
          <cell r="DH963">
            <v>0</v>
          </cell>
          <cell r="DL963">
            <v>0</v>
          </cell>
          <cell r="DM963">
            <v>0</v>
          </cell>
          <cell r="DO963">
            <v>0</v>
          </cell>
          <cell r="DQ963">
            <v>0</v>
          </cell>
          <cell r="DW963">
            <v>0</v>
          </cell>
          <cell r="DX963">
            <v>0</v>
          </cell>
          <cell r="DY963">
            <v>0</v>
          </cell>
          <cell r="DZ963">
            <v>0</v>
          </cell>
          <cell r="EA963">
            <v>0</v>
          </cell>
          <cell r="EB963">
            <v>0</v>
          </cell>
          <cell r="EC963">
            <v>0</v>
          </cell>
        </row>
        <row r="964"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R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BA964">
            <v>0</v>
          </cell>
          <cell r="BB964">
            <v>0</v>
          </cell>
          <cell r="BH964">
            <v>0</v>
          </cell>
          <cell r="BI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U964">
            <v>0</v>
          </cell>
          <cell r="BV964">
            <v>0</v>
          </cell>
          <cell r="BW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  <cell r="CN964">
            <v>0</v>
          </cell>
          <cell r="CO964">
            <v>0</v>
          </cell>
          <cell r="CP964">
            <v>0</v>
          </cell>
          <cell r="CS964">
            <v>0</v>
          </cell>
          <cell r="CU964">
            <v>0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B964">
            <v>0</v>
          </cell>
          <cell r="DC964">
            <v>0</v>
          </cell>
          <cell r="DD964">
            <v>0</v>
          </cell>
          <cell r="DE964">
            <v>0</v>
          </cell>
          <cell r="DF964">
            <v>0</v>
          </cell>
          <cell r="DG964">
            <v>0</v>
          </cell>
          <cell r="DH964">
            <v>0</v>
          </cell>
          <cell r="DL964">
            <v>0</v>
          </cell>
          <cell r="DM964">
            <v>0</v>
          </cell>
          <cell r="DO964">
            <v>0</v>
          </cell>
          <cell r="DQ964">
            <v>0</v>
          </cell>
          <cell r="DW964">
            <v>0</v>
          </cell>
          <cell r="DX964">
            <v>0</v>
          </cell>
          <cell r="DY964">
            <v>0</v>
          </cell>
          <cell r="DZ964">
            <v>0</v>
          </cell>
          <cell r="EA964">
            <v>0</v>
          </cell>
          <cell r="EB964">
            <v>0</v>
          </cell>
          <cell r="EC964">
            <v>0</v>
          </cell>
        </row>
        <row r="965"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R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BA965">
            <v>0</v>
          </cell>
          <cell r="BB965">
            <v>0</v>
          </cell>
          <cell r="BH965">
            <v>0</v>
          </cell>
          <cell r="BI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U965">
            <v>0</v>
          </cell>
          <cell r="BV965">
            <v>0</v>
          </cell>
          <cell r="BW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  <cell r="CN965">
            <v>0</v>
          </cell>
          <cell r="CO965">
            <v>0</v>
          </cell>
          <cell r="CP965">
            <v>0</v>
          </cell>
          <cell r="CS965">
            <v>0</v>
          </cell>
          <cell r="CU965">
            <v>0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B965">
            <v>0</v>
          </cell>
          <cell r="DC965">
            <v>0</v>
          </cell>
          <cell r="DD965">
            <v>0</v>
          </cell>
          <cell r="DE965">
            <v>0</v>
          </cell>
          <cell r="DF965">
            <v>0</v>
          </cell>
          <cell r="DG965">
            <v>0</v>
          </cell>
          <cell r="DH965">
            <v>0</v>
          </cell>
          <cell r="DL965">
            <v>0</v>
          </cell>
          <cell r="DM965">
            <v>0</v>
          </cell>
          <cell r="DO965">
            <v>0</v>
          </cell>
          <cell r="DQ965">
            <v>0</v>
          </cell>
          <cell r="DW965">
            <v>0</v>
          </cell>
          <cell r="DX965">
            <v>0</v>
          </cell>
          <cell r="DY965">
            <v>0</v>
          </cell>
          <cell r="DZ965">
            <v>0</v>
          </cell>
          <cell r="EA965">
            <v>0</v>
          </cell>
          <cell r="EB965">
            <v>0</v>
          </cell>
          <cell r="EC965">
            <v>0</v>
          </cell>
        </row>
        <row r="966"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K966">
            <v>0</v>
          </cell>
          <cell r="L966">
            <v>1</v>
          </cell>
          <cell r="M966">
            <v>0</v>
          </cell>
          <cell r="N966">
            <v>0</v>
          </cell>
          <cell r="R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BA966">
            <v>0</v>
          </cell>
          <cell r="BB966">
            <v>0</v>
          </cell>
          <cell r="BH966">
            <v>0</v>
          </cell>
          <cell r="BI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U966">
            <v>0</v>
          </cell>
          <cell r="BV966">
            <v>0</v>
          </cell>
          <cell r="BW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  <cell r="CN966">
            <v>0</v>
          </cell>
          <cell r="CO966">
            <v>0</v>
          </cell>
          <cell r="CP966">
            <v>0</v>
          </cell>
          <cell r="CS966">
            <v>0</v>
          </cell>
          <cell r="CU966">
            <v>0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B966">
            <v>0</v>
          </cell>
          <cell r="DC966">
            <v>0</v>
          </cell>
          <cell r="DD966">
            <v>0</v>
          </cell>
          <cell r="DE966">
            <v>0</v>
          </cell>
          <cell r="DF966">
            <v>0</v>
          </cell>
          <cell r="DG966">
            <v>0</v>
          </cell>
          <cell r="DH966">
            <v>0</v>
          </cell>
          <cell r="DL966">
            <v>0</v>
          </cell>
          <cell r="DM966">
            <v>0</v>
          </cell>
          <cell r="DO966">
            <v>0</v>
          </cell>
          <cell r="DQ966">
            <v>0</v>
          </cell>
          <cell r="DW966">
            <v>0</v>
          </cell>
          <cell r="DX966">
            <v>0</v>
          </cell>
          <cell r="DY966">
            <v>0</v>
          </cell>
          <cell r="DZ966">
            <v>0</v>
          </cell>
          <cell r="EA966">
            <v>0</v>
          </cell>
          <cell r="EB966">
            <v>0</v>
          </cell>
          <cell r="EC966">
            <v>0</v>
          </cell>
        </row>
        <row r="967"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R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BA967">
            <v>0</v>
          </cell>
          <cell r="BB967">
            <v>0</v>
          </cell>
          <cell r="BH967">
            <v>0</v>
          </cell>
          <cell r="BI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U967">
            <v>0</v>
          </cell>
          <cell r="BV967">
            <v>0</v>
          </cell>
          <cell r="BW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  <cell r="CN967">
            <v>0</v>
          </cell>
          <cell r="CO967">
            <v>0</v>
          </cell>
          <cell r="CP967">
            <v>0</v>
          </cell>
          <cell r="CS967">
            <v>0</v>
          </cell>
          <cell r="CU967">
            <v>0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B967">
            <v>0</v>
          </cell>
          <cell r="DC967">
            <v>0</v>
          </cell>
          <cell r="DD967">
            <v>0</v>
          </cell>
          <cell r="DE967">
            <v>0</v>
          </cell>
          <cell r="DF967">
            <v>0</v>
          </cell>
          <cell r="DG967">
            <v>0</v>
          </cell>
          <cell r="DH967">
            <v>0</v>
          </cell>
          <cell r="DL967">
            <v>0</v>
          </cell>
          <cell r="DM967">
            <v>0</v>
          </cell>
          <cell r="DO967">
            <v>0</v>
          </cell>
          <cell r="DQ967">
            <v>0</v>
          </cell>
          <cell r="DW967">
            <v>0</v>
          </cell>
          <cell r="DX967">
            <v>0</v>
          </cell>
          <cell r="DY967">
            <v>0</v>
          </cell>
          <cell r="DZ967">
            <v>0</v>
          </cell>
          <cell r="EA967">
            <v>0</v>
          </cell>
          <cell r="EB967">
            <v>0</v>
          </cell>
          <cell r="EC967">
            <v>0</v>
          </cell>
        </row>
        <row r="968">
          <cell r="D968">
            <v>2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K968">
            <v>3</v>
          </cell>
          <cell r="L968">
            <v>3</v>
          </cell>
          <cell r="M968">
            <v>0</v>
          </cell>
          <cell r="N968">
            <v>0</v>
          </cell>
          <cell r="R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E968">
            <v>0</v>
          </cell>
          <cell r="AF968">
            <v>0</v>
          </cell>
          <cell r="AG968">
            <v>23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BA968">
            <v>0</v>
          </cell>
          <cell r="BB968">
            <v>0</v>
          </cell>
          <cell r="BH968">
            <v>0</v>
          </cell>
          <cell r="BI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U968">
            <v>0</v>
          </cell>
          <cell r="BV968">
            <v>0</v>
          </cell>
          <cell r="BW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  <cell r="CN968">
            <v>0</v>
          </cell>
          <cell r="CO968">
            <v>0</v>
          </cell>
          <cell r="CP968">
            <v>0</v>
          </cell>
          <cell r="CS968">
            <v>0</v>
          </cell>
          <cell r="CU968">
            <v>0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B968">
            <v>0</v>
          </cell>
          <cell r="DC968">
            <v>0</v>
          </cell>
          <cell r="DD968">
            <v>0</v>
          </cell>
          <cell r="DE968">
            <v>0</v>
          </cell>
          <cell r="DF968">
            <v>0</v>
          </cell>
          <cell r="DG968">
            <v>0</v>
          </cell>
          <cell r="DH968">
            <v>0</v>
          </cell>
          <cell r="DL968">
            <v>0</v>
          </cell>
          <cell r="DM968">
            <v>0</v>
          </cell>
          <cell r="DO968">
            <v>3</v>
          </cell>
          <cell r="DQ968">
            <v>0</v>
          </cell>
          <cell r="DW968">
            <v>0</v>
          </cell>
          <cell r="DX968">
            <v>0</v>
          </cell>
          <cell r="DY968">
            <v>0</v>
          </cell>
          <cell r="DZ968">
            <v>0</v>
          </cell>
          <cell r="EA968">
            <v>0</v>
          </cell>
          <cell r="EB968">
            <v>0</v>
          </cell>
          <cell r="EC968">
            <v>0</v>
          </cell>
        </row>
        <row r="969"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R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BA969">
            <v>0</v>
          </cell>
          <cell r="BB969">
            <v>0</v>
          </cell>
          <cell r="BH969">
            <v>0</v>
          </cell>
          <cell r="BI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U969">
            <v>0</v>
          </cell>
          <cell r="BV969">
            <v>0</v>
          </cell>
          <cell r="BW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  <cell r="CN969">
            <v>0</v>
          </cell>
          <cell r="CO969">
            <v>0</v>
          </cell>
          <cell r="CP969">
            <v>0</v>
          </cell>
          <cell r="CS969">
            <v>0</v>
          </cell>
          <cell r="CU969">
            <v>0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B969">
            <v>0</v>
          </cell>
          <cell r="DC969">
            <v>0</v>
          </cell>
          <cell r="DD969">
            <v>0</v>
          </cell>
          <cell r="DE969">
            <v>0</v>
          </cell>
          <cell r="DF969">
            <v>0</v>
          </cell>
          <cell r="DG969">
            <v>0</v>
          </cell>
          <cell r="DH969">
            <v>0</v>
          </cell>
          <cell r="DL969">
            <v>0</v>
          </cell>
          <cell r="DM969">
            <v>0</v>
          </cell>
          <cell r="DO969">
            <v>0</v>
          </cell>
          <cell r="DQ969">
            <v>0</v>
          </cell>
          <cell r="DW969">
            <v>0</v>
          </cell>
          <cell r="DX969">
            <v>0</v>
          </cell>
          <cell r="DY969">
            <v>0</v>
          </cell>
          <cell r="DZ969">
            <v>0</v>
          </cell>
          <cell r="EA969">
            <v>0</v>
          </cell>
          <cell r="EB969">
            <v>0</v>
          </cell>
          <cell r="EC969">
            <v>0</v>
          </cell>
        </row>
        <row r="970"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R970">
            <v>0</v>
          </cell>
          <cell r="V970">
            <v>1</v>
          </cell>
          <cell r="W970">
            <v>1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BA970">
            <v>0</v>
          </cell>
          <cell r="BB970">
            <v>0</v>
          </cell>
          <cell r="BH970">
            <v>0</v>
          </cell>
          <cell r="BI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U970">
            <v>0</v>
          </cell>
          <cell r="BV970">
            <v>0</v>
          </cell>
          <cell r="BW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  <cell r="CN970">
            <v>0</v>
          </cell>
          <cell r="CO970">
            <v>0</v>
          </cell>
          <cell r="CP970">
            <v>0</v>
          </cell>
          <cell r="CS970">
            <v>0</v>
          </cell>
          <cell r="CU970">
            <v>0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B970">
            <v>0</v>
          </cell>
          <cell r="DC970">
            <v>0</v>
          </cell>
          <cell r="DD970">
            <v>0</v>
          </cell>
          <cell r="DE970">
            <v>0</v>
          </cell>
          <cell r="DF970">
            <v>0</v>
          </cell>
          <cell r="DG970">
            <v>0</v>
          </cell>
          <cell r="DH970">
            <v>0</v>
          </cell>
          <cell r="DL970">
            <v>0</v>
          </cell>
          <cell r="DM970">
            <v>0</v>
          </cell>
          <cell r="DO970">
            <v>0</v>
          </cell>
          <cell r="DQ970">
            <v>0</v>
          </cell>
          <cell r="DW970">
            <v>0</v>
          </cell>
          <cell r="DX970">
            <v>0</v>
          </cell>
          <cell r="DY970">
            <v>0</v>
          </cell>
          <cell r="DZ970">
            <v>0</v>
          </cell>
          <cell r="EA970">
            <v>0</v>
          </cell>
          <cell r="EB970">
            <v>0</v>
          </cell>
          <cell r="EC970">
            <v>0</v>
          </cell>
        </row>
        <row r="971"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R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BA971">
            <v>0</v>
          </cell>
          <cell r="BB971">
            <v>0</v>
          </cell>
          <cell r="BH971">
            <v>0</v>
          </cell>
          <cell r="BI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U971">
            <v>0</v>
          </cell>
          <cell r="BV971">
            <v>0</v>
          </cell>
          <cell r="BW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  <cell r="CN971">
            <v>0</v>
          </cell>
          <cell r="CO971">
            <v>0</v>
          </cell>
          <cell r="CP971">
            <v>1</v>
          </cell>
          <cell r="CS971">
            <v>0</v>
          </cell>
          <cell r="CU971">
            <v>0</v>
          </cell>
          <cell r="CV971">
            <v>0</v>
          </cell>
          <cell r="CW971">
            <v>0</v>
          </cell>
          <cell r="CX971">
            <v>0</v>
          </cell>
          <cell r="CY971">
            <v>1</v>
          </cell>
          <cell r="CZ971">
            <v>0</v>
          </cell>
          <cell r="DB971">
            <v>0</v>
          </cell>
          <cell r="DC971">
            <v>0</v>
          </cell>
          <cell r="DD971">
            <v>0</v>
          </cell>
          <cell r="DE971">
            <v>0</v>
          </cell>
          <cell r="DF971">
            <v>0</v>
          </cell>
          <cell r="DG971">
            <v>0</v>
          </cell>
          <cell r="DH971">
            <v>0</v>
          </cell>
          <cell r="DL971">
            <v>0</v>
          </cell>
          <cell r="DM971">
            <v>0</v>
          </cell>
          <cell r="DO971">
            <v>0</v>
          </cell>
          <cell r="DQ971">
            <v>0</v>
          </cell>
          <cell r="DW971">
            <v>0</v>
          </cell>
          <cell r="DX971">
            <v>0</v>
          </cell>
          <cell r="DY971">
            <v>0</v>
          </cell>
          <cell r="DZ971">
            <v>0</v>
          </cell>
          <cell r="EA971">
            <v>0</v>
          </cell>
          <cell r="EB971">
            <v>0</v>
          </cell>
          <cell r="EC971">
            <v>0</v>
          </cell>
        </row>
        <row r="972"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R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BA972">
            <v>0</v>
          </cell>
          <cell r="BB972">
            <v>0</v>
          </cell>
          <cell r="BH972">
            <v>0</v>
          </cell>
          <cell r="BI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U972">
            <v>0</v>
          </cell>
          <cell r="BV972">
            <v>0</v>
          </cell>
          <cell r="BW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  <cell r="CN972">
            <v>0</v>
          </cell>
          <cell r="CO972">
            <v>0</v>
          </cell>
          <cell r="CP972">
            <v>0</v>
          </cell>
          <cell r="CS972">
            <v>0</v>
          </cell>
          <cell r="CU972">
            <v>0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B972">
            <v>0</v>
          </cell>
          <cell r="DC972">
            <v>0</v>
          </cell>
          <cell r="DD972">
            <v>0</v>
          </cell>
          <cell r="DE972">
            <v>0</v>
          </cell>
          <cell r="DF972">
            <v>0</v>
          </cell>
          <cell r="DG972">
            <v>0</v>
          </cell>
          <cell r="DH972">
            <v>0</v>
          </cell>
          <cell r="DL972">
            <v>0</v>
          </cell>
          <cell r="DM972">
            <v>0</v>
          </cell>
          <cell r="DO972">
            <v>0</v>
          </cell>
          <cell r="DQ972">
            <v>0</v>
          </cell>
          <cell r="DW972">
            <v>0</v>
          </cell>
          <cell r="DX972">
            <v>0</v>
          </cell>
          <cell r="DY972">
            <v>0</v>
          </cell>
          <cell r="DZ972">
            <v>0</v>
          </cell>
          <cell r="EA972">
            <v>0</v>
          </cell>
          <cell r="EB972">
            <v>0</v>
          </cell>
          <cell r="EC972">
            <v>0</v>
          </cell>
        </row>
        <row r="973"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R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BA973">
            <v>0</v>
          </cell>
          <cell r="BB973">
            <v>0</v>
          </cell>
          <cell r="BH973">
            <v>0</v>
          </cell>
          <cell r="BI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U973">
            <v>0</v>
          </cell>
          <cell r="BV973">
            <v>0</v>
          </cell>
          <cell r="BW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  <cell r="CN973">
            <v>0</v>
          </cell>
          <cell r="CO973">
            <v>0</v>
          </cell>
          <cell r="CP973">
            <v>0</v>
          </cell>
          <cell r="CS973">
            <v>0</v>
          </cell>
          <cell r="CU973">
            <v>0</v>
          </cell>
          <cell r="CV973">
            <v>0</v>
          </cell>
          <cell r="CW973">
            <v>0</v>
          </cell>
          <cell r="CX973">
            <v>1</v>
          </cell>
          <cell r="CY973">
            <v>0</v>
          </cell>
          <cell r="CZ973">
            <v>0</v>
          </cell>
          <cell r="DB973">
            <v>0</v>
          </cell>
          <cell r="DC973">
            <v>0</v>
          </cell>
          <cell r="DD973">
            <v>0</v>
          </cell>
          <cell r="DE973">
            <v>0</v>
          </cell>
          <cell r="DF973">
            <v>0</v>
          </cell>
          <cell r="DG973">
            <v>0</v>
          </cell>
          <cell r="DH973">
            <v>0</v>
          </cell>
          <cell r="DL973">
            <v>0</v>
          </cell>
          <cell r="DM973">
            <v>0</v>
          </cell>
          <cell r="DO973">
            <v>0</v>
          </cell>
          <cell r="DQ973">
            <v>0</v>
          </cell>
          <cell r="DW973">
            <v>0</v>
          </cell>
          <cell r="DX973">
            <v>0</v>
          </cell>
          <cell r="DY973">
            <v>0</v>
          </cell>
          <cell r="DZ973">
            <v>0</v>
          </cell>
          <cell r="EA973">
            <v>0</v>
          </cell>
          <cell r="EB973">
            <v>0</v>
          </cell>
          <cell r="EC973">
            <v>0</v>
          </cell>
        </row>
        <row r="974"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R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BA974">
            <v>0</v>
          </cell>
          <cell r="BB974">
            <v>0</v>
          </cell>
          <cell r="BH974">
            <v>0</v>
          </cell>
          <cell r="BI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U974">
            <v>0</v>
          </cell>
          <cell r="BV974">
            <v>0</v>
          </cell>
          <cell r="BW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  <cell r="CN974">
            <v>0</v>
          </cell>
          <cell r="CO974">
            <v>0</v>
          </cell>
          <cell r="CP974">
            <v>0</v>
          </cell>
          <cell r="CS974">
            <v>0</v>
          </cell>
          <cell r="CU974">
            <v>0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B974">
            <v>0</v>
          </cell>
          <cell r="DC974">
            <v>0</v>
          </cell>
          <cell r="DD974">
            <v>0</v>
          </cell>
          <cell r="DE974">
            <v>0</v>
          </cell>
          <cell r="DF974">
            <v>0</v>
          </cell>
          <cell r="DG974">
            <v>0</v>
          </cell>
          <cell r="DH974">
            <v>0</v>
          </cell>
          <cell r="DL974">
            <v>0</v>
          </cell>
          <cell r="DM974">
            <v>0</v>
          </cell>
          <cell r="DO974">
            <v>1</v>
          </cell>
          <cell r="DQ974">
            <v>0</v>
          </cell>
          <cell r="DW974">
            <v>0</v>
          </cell>
          <cell r="DX974">
            <v>0</v>
          </cell>
          <cell r="DY974">
            <v>0</v>
          </cell>
          <cell r="DZ974">
            <v>0</v>
          </cell>
          <cell r="EA974">
            <v>0</v>
          </cell>
          <cell r="EB974">
            <v>0</v>
          </cell>
          <cell r="EC974">
            <v>0</v>
          </cell>
        </row>
        <row r="975"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R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BA975">
            <v>0</v>
          </cell>
          <cell r="BB975">
            <v>0</v>
          </cell>
          <cell r="BH975">
            <v>0</v>
          </cell>
          <cell r="BI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U975">
            <v>0</v>
          </cell>
          <cell r="BV975">
            <v>0</v>
          </cell>
          <cell r="BW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N975">
            <v>0</v>
          </cell>
          <cell r="CO975">
            <v>0</v>
          </cell>
          <cell r="CP975">
            <v>0</v>
          </cell>
          <cell r="CS975">
            <v>0</v>
          </cell>
          <cell r="CU975">
            <v>0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B975">
            <v>0</v>
          </cell>
          <cell r="DC975">
            <v>0</v>
          </cell>
          <cell r="DD975">
            <v>0</v>
          </cell>
          <cell r="DE975">
            <v>0</v>
          </cell>
          <cell r="DF975">
            <v>0</v>
          </cell>
          <cell r="DG975">
            <v>0</v>
          </cell>
          <cell r="DH975">
            <v>0</v>
          </cell>
          <cell r="DL975">
            <v>0</v>
          </cell>
          <cell r="DM975">
            <v>0</v>
          </cell>
          <cell r="DO975">
            <v>0</v>
          </cell>
          <cell r="DQ975">
            <v>0</v>
          </cell>
          <cell r="DW975">
            <v>0</v>
          </cell>
          <cell r="DX975">
            <v>0</v>
          </cell>
          <cell r="DY975">
            <v>1</v>
          </cell>
          <cell r="DZ975">
            <v>0</v>
          </cell>
          <cell r="EA975">
            <v>0</v>
          </cell>
          <cell r="EB975">
            <v>0</v>
          </cell>
          <cell r="EC975">
            <v>0</v>
          </cell>
        </row>
        <row r="976"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R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1</v>
          </cell>
          <cell r="AS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BA976">
            <v>0</v>
          </cell>
          <cell r="BB976">
            <v>0</v>
          </cell>
          <cell r="BH976">
            <v>0</v>
          </cell>
          <cell r="BI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U976">
            <v>0</v>
          </cell>
          <cell r="BV976">
            <v>0</v>
          </cell>
          <cell r="BW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  <cell r="CN976">
            <v>0</v>
          </cell>
          <cell r="CO976">
            <v>0</v>
          </cell>
          <cell r="CP976">
            <v>0</v>
          </cell>
          <cell r="CS976">
            <v>0</v>
          </cell>
          <cell r="CU976">
            <v>0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B976">
            <v>0</v>
          </cell>
          <cell r="DC976">
            <v>0</v>
          </cell>
          <cell r="DD976">
            <v>0</v>
          </cell>
          <cell r="DE976">
            <v>0</v>
          </cell>
          <cell r="DF976">
            <v>0</v>
          </cell>
          <cell r="DG976">
            <v>0</v>
          </cell>
          <cell r="DH976">
            <v>0</v>
          </cell>
          <cell r="DL976">
            <v>0</v>
          </cell>
          <cell r="DM976">
            <v>0</v>
          </cell>
          <cell r="DO976">
            <v>0</v>
          </cell>
          <cell r="DQ976">
            <v>0</v>
          </cell>
          <cell r="DW976">
            <v>0</v>
          </cell>
          <cell r="DX976">
            <v>0</v>
          </cell>
          <cell r="DY976">
            <v>0</v>
          </cell>
          <cell r="DZ976">
            <v>0</v>
          </cell>
          <cell r="EA976">
            <v>0</v>
          </cell>
          <cell r="EB976">
            <v>0</v>
          </cell>
          <cell r="EC976">
            <v>0</v>
          </cell>
        </row>
        <row r="977"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R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BA977">
            <v>0</v>
          </cell>
          <cell r="BB977">
            <v>0</v>
          </cell>
          <cell r="BH977">
            <v>0</v>
          </cell>
          <cell r="BI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U977">
            <v>0</v>
          </cell>
          <cell r="BV977">
            <v>0</v>
          </cell>
          <cell r="BW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  <cell r="CN977">
            <v>0</v>
          </cell>
          <cell r="CO977">
            <v>0</v>
          </cell>
          <cell r="CP977">
            <v>0</v>
          </cell>
          <cell r="CS977">
            <v>0</v>
          </cell>
          <cell r="CU977">
            <v>0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B977">
            <v>0</v>
          </cell>
          <cell r="DC977">
            <v>0</v>
          </cell>
          <cell r="DD977">
            <v>0</v>
          </cell>
          <cell r="DE977">
            <v>0</v>
          </cell>
          <cell r="DF977">
            <v>0</v>
          </cell>
          <cell r="DG977">
            <v>0</v>
          </cell>
          <cell r="DH977">
            <v>0</v>
          </cell>
          <cell r="DL977">
            <v>0</v>
          </cell>
          <cell r="DM977">
            <v>0</v>
          </cell>
          <cell r="DO977">
            <v>0</v>
          </cell>
          <cell r="DQ977">
            <v>0</v>
          </cell>
          <cell r="DW977">
            <v>0</v>
          </cell>
          <cell r="DX977">
            <v>0</v>
          </cell>
          <cell r="DY977">
            <v>0</v>
          </cell>
          <cell r="DZ977">
            <v>0</v>
          </cell>
          <cell r="EA977">
            <v>0</v>
          </cell>
          <cell r="EB977">
            <v>0</v>
          </cell>
          <cell r="EC977">
            <v>0</v>
          </cell>
        </row>
        <row r="978"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R978">
            <v>0</v>
          </cell>
          <cell r="V978">
            <v>0</v>
          </cell>
          <cell r="W978">
            <v>1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BA978">
            <v>0</v>
          </cell>
          <cell r="BB978">
            <v>0</v>
          </cell>
          <cell r="BH978">
            <v>0</v>
          </cell>
          <cell r="BI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U978">
            <v>0</v>
          </cell>
          <cell r="BV978">
            <v>0</v>
          </cell>
          <cell r="BW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  <cell r="CN978">
            <v>0</v>
          </cell>
          <cell r="CO978">
            <v>0</v>
          </cell>
          <cell r="CP978">
            <v>0</v>
          </cell>
          <cell r="CS978">
            <v>0</v>
          </cell>
          <cell r="CU978">
            <v>0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B978">
            <v>0</v>
          </cell>
          <cell r="DC978">
            <v>0</v>
          </cell>
          <cell r="DD978">
            <v>0</v>
          </cell>
          <cell r="DE978">
            <v>0</v>
          </cell>
          <cell r="DF978">
            <v>0</v>
          </cell>
          <cell r="DG978">
            <v>0</v>
          </cell>
          <cell r="DH978">
            <v>0</v>
          </cell>
          <cell r="DL978">
            <v>0</v>
          </cell>
          <cell r="DM978">
            <v>0</v>
          </cell>
          <cell r="DO978">
            <v>0</v>
          </cell>
          <cell r="DQ978">
            <v>0</v>
          </cell>
          <cell r="DW978">
            <v>0</v>
          </cell>
          <cell r="DX978">
            <v>0</v>
          </cell>
          <cell r="DY978">
            <v>0</v>
          </cell>
          <cell r="DZ978">
            <v>0</v>
          </cell>
          <cell r="EA978">
            <v>0</v>
          </cell>
          <cell r="EB978">
            <v>0</v>
          </cell>
          <cell r="EC978">
            <v>0</v>
          </cell>
        </row>
        <row r="979"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R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BA979">
            <v>0</v>
          </cell>
          <cell r="BB979">
            <v>0</v>
          </cell>
          <cell r="BH979">
            <v>0</v>
          </cell>
          <cell r="BI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U979">
            <v>0</v>
          </cell>
          <cell r="BV979">
            <v>0</v>
          </cell>
          <cell r="BW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  <cell r="CN979">
            <v>0</v>
          </cell>
          <cell r="CO979">
            <v>0</v>
          </cell>
          <cell r="CP979">
            <v>0</v>
          </cell>
          <cell r="CS979">
            <v>0</v>
          </cell>
          <cell r="CU979">
            <v>0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B979">
            <v>0</v>
          </cell>
          <cell r="DC979">
            <v>0</v>
          </cell>
          <cell r="DD979">
            <v>0</v>
          </cell>
          <cell r="DE979">
            <v>0</v>
          </cell>
          <cell r="DF979">
            <v>0</v>
          </cell>
          <cell r="DG979">
            <v>0</v>
          </cell>
          <cell r="DH979">
            <v>0</v>
          </cell>
          <cell r="DL979">
            <v>0</v>
          </cell>
          <cell r="DM979">
            <v>0</v>
          </cell>
          <cell r="DO979">
            <v>0</v>
          </cell>
          <cell r="DQ979">
            <v>0</v>
          </cell>
          <cell r="DW979">
            <v>0</v>
          </cell>
          <cell r="DX979">
            <v>0</v>
          </cell>
          <cell r="DY979">
            <v>0</v>
          </cell>
          <cell r="DZ979">
            <v>0</v>
          </cell>
          <cell r="EA979">
            <v>0</v>
          </cell>
          <cell r="EB979">
            <v>0</v>
          </cell>
          <cell r="EC979">
            <v>0</v>
          </cell>
        </row>
        <row r="980"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R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BA980">
            <v>0</v>
          </cell>
          <cell r="BB980">
            <v>0</v>
          </cell>
          <cell r="BH980">
            <v>0</v>
          </cell>
          <cell r="BI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U980">
            <v>0</v>
          </cell>
          <cell r="BV980">
            <v>0</v>
          </cell>
          <cell r="BW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  <cell r="CN980">
            <v>0</v>
          </cell>
          <cell r="CO980">
            <v>0</v>
          </cell>
          <cell r="CP980">
            <v>0</v>
          </cell>
          <cell r="CS980">
            <v>0</v>
          </cell>
          <cell r="CU980">
            <v>0</v>
          </cell>
          <cell r="CV980">
            <v>1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B980">
            <v>0</v>
          </cell>
          <cell r="DC980">
            <v>0</v>
          </cell>
          <cell r="DD980">
            <v>0</v>
          </cell>
          <cell r="DE980">
            <v>0</v>
          </cell>
          <cell r="DF980">
            <v>0</v>
          </cell>
          <cell r="DG980">
            <v>0</v>
          </cell>
          <cell r="DH980">
            <v>0</v>
          </cell>
          <cell r="DL980">
            <v>1</v>
          </cell>
          <cell r="DM980">
            <v>0</v>
          </cell>
          <cell r="DO980">
            <v>0</v>
          </cell>
          <cell r="DQ980">
            <v>0</v>
          </cell>
          <cell r="DW980">
            <v>0</v>
          </cell>
          <cell r="DX980">
            <v>0</v>
          </cell>
          <cell r="DY980">
            <v>0</v>
          </cell>
          <cell r="DZ980">
            <v>0</v>
          </cell>
          <cell r="EA980">
            <v>0</v>
          </cell>
          <cell r="EB980">
            <v>0</v>
          </cell>
          <cell r="EC980">
            <v>0</v>
          </cell>
        </row>
        <row r="981"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R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BA981">
            <v>0</v>
          </cell>
          <cell r="BB981">
            <v>0</v>
          </cell>
          <cell r="BH981">
            <v>16</v>
          </cell>
          <cell r="BI981">
            <v>10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U981">
            <v>0</v>
          </cell>
          <cell r="BV981">
            <v>0</v>
          </cell>
          <cell r="BW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  <cell r="CN981">
            <v>0</v>
          </cell>
          <cell r="CO981">
            <v>0</v>
          </cell>
          <cell r="CP981">
            <v>0</v>
          </cell>
          <cell r="CS981">
            <v>0</v>
          </cell>
          <cell r="CU981">
            <v>0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B981">
            <v>0</v>
          </cell>
          <cell r="DC981">
            <v>0</v>
          </cell>
          <cell r="DD981">
            <v>0</v>
          </cell>
          <cell r="DE981">
            <v>0</v>
          </cell>
          <cell r="DF981">
            <v>0</v>
          </cell>
          <cell r="DG981">
            <v>0</v>
          </cell>
          <cell r="DH981">
            <v>0</v>
          </cell>
          <cell r="DL981">
            <v>0</v>
          </cell>
          <cell r="DM981">
            <v>0</v>
          </cell>
          <cell r="DO981">
            <v>0</v>
          </cell>
          <cell r="DQ981">
            <v>0</v>
          </cell>
          <cell r="DW981">
            <v>0</v>
          </cell>
          <cell r="DX981">
            <v>0</v>
          </cell>
          <cell r="DY981">
            <v>0</v>
          </cell>
          <cell r="DZ981">
            <v>0</v>
          </cell>
          <cell r="EA981">
            <v>0</v>
          </cell>
          <cell r="EB981">
            <v>0</v>
          </cell>
          <cell r="EC981">
            <v>0</v>
          </cell>
        </row>
        <row r="982"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R982">
            <v>0</v>
          </cell>
          <cell r="V982">
            <v>0</v>
          </cell>
          <cell r="W982">
            <v>1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BA982">
            <v>0</v>
          </cell>
          <cell r="BB982">
            <v>0</v>
          </cell>
          <cell r="BH982">
            <v>0</v>
          </cell>
          <cell r="BI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U982">
            <v>0</v>
          </cell>
          <cell r="BV982">
            <v>0</v>
          </cell>
          <cell r="BW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  <cell r="CN982">
            <v>0</v>
          </cell>
          <cell r="CO982">
            <v>0</v>
          </cell>
          <cell r="CP982">
            <v>0</v>
          </cell>
          <cell r="CS982">
            <v>0</v>
          </cell>
          <cell r="CU982">
            <v>0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B982">
            <v>0</v>
          </cell>
          <cell r="DC982">
            <v>0</v>
          </cell>
          <cell r="DD982">
            <v>0</v>
          </cell>
          <cell r="DE982">
            <v>0</v>
          </cell>
          <cell r="DF982">
            <v>1</v>
          </cell>
          <cell r="DG982">
            <v>0</v>
          </cell>
          <cell r="DH982">
            <v>0</v>
          </cell>
          <cell r="DL982">
            <v>0</v>
          </cell>
          <cell r="DM982">
            <v>0</v>
          </cell>
          <cell r="DO982">
            <v>0</v>
          </cell>
          <cell r="DQ982">
            <v>0</v>
          </cell>
          <cell r="DW982">
            <v>0</v>
          </cell>
          <cell r="DX982">
            <v>0</v>
          </cell>
          <cell r="DY982">
            <v>0</v>
          </cell>
          <cell r="DZ982">
            <v>0</v>
          </cell>
          <cell r="EA982">
            <v>0</v>
          </cell>
          <cell r="EB982">
            <v>0</v>
          </cell>
          <cell r="EC982">
            <v>0</v>
          </cell>
        </row>
        <row r="983"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R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BA983">
            <v>0</v>
          </cell>
          <cell r="BB983">
            <v>0</v>
          </cell>
          <cell r="BH983">
            <v>0</v>
          </cell>
          <cell r="BI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U983">
            <v>0</v>
          </cell>
          <cell r="BV983">
            <v>0</v>
          </cell>
          <cell r="BW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N983">
            <v>0</v>
          </cell>
          <cell r="CO983">
            <v>0</v>
          </cell>
          <cell r="CP983">
            <v>0</v>
          </cell>
          <cell r="CS983">
            <v>0</v>
          </cell>
          <cell r="CU983">
            <v>0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B983">
            <v>0</v>
          </cell>
          <cell r="DC983">
            <v>0</v>
          </cell>
          <cell r="DD983">
            <v>0</v>
          </cell>
          <cell r="DE983">
            <v>0</v>
          </cell>
          <cell r="DF983">
            <v>0</v>
          </cell>
          <cell r="DG983">
            <v>0</v>
          </cell>
          <cell r="DH983">
            <v>0</v>
          </cell>
          <cell r="DL983">
            <v>0</v>
          </cell>
          <cell r="DM983">
            <v>0</v>
          </cell>
          <cell r="DO983">
            <v>0</v>
          </cell>
          <cell r="DQ983">
            <v>0</v>
          </cell>
          <cell r="DW983">
            <v>0</v>
          </cell>
          <cell r="DX983">
            <v>0</v>
          </cell>
          <cell r="DY983">
            <v>1</v>
          </cell>
          <cell r="DZ983">
            <v>0</v>
          </cell>
          <cell r="EA983">
            <v>0</v>
          </cell>
          <cell r="EB983">
            <v>0</v>
          </cell>
          <cell r="EC983">
            <v>4</v>
          </cell>
        </row>
        <row r="984"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R984">
            <v>0</v>
          </cell>
          <cell r="V984">
            <v>0</v>
          </cell>
          <cell r="W984">
            <v>3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BA984">
            <v>0</v>
          </cell>
          <cell r="BB984">
            <v>0</v>
          </cell>
          <cell r="BH984">
            <v>0</v>
          </cell>
          <cell r="BI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U984">
            <v>0</v>
          </cell>
          <cell r="BV984">
            <v>0</v>
          </cell>
          <cell r="BW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N984">
            <v>0</v>
          </cell>
          <cell r="CO984">
            <v>0</v>
          </cell>
          <cell r="CP984">
            <v>0</v>
          </cell>
          <cell r="CS984">
            <v>0</v>
          </cell>
          <cell r="CU984">
            <v>0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B984">
            <v>0</v>
          </cell>
          <cell r="DC984">
            <v>0</v>
          </cell>
          <cell r="DD984">
            <v>0</v>
          </cell>
          <cell r="DE984">
            <v>0</v>
          </cell>
          <cell r="DF984">
            <v>1</v>
          </cell>
          <cell r="DG984">
            <v>1</v>
          </cell>
          <cell r="DH984">
            <v>1</v>
          </cell>
          <cell r="DL984">
            <v>0</v>
          </cell>
          <cell r="DM984">
            <v>0</v>
          </cell>
          <cell r="DO984">
            <v>0</v>
          </cell>
          <cell r="DQ984">
            <v>0</v>
          </cell>
          <cell r="DW984">
            <v>0</v>
          </cell>
          <cell r="DX984">
            <v>0</v>
          </cell>
          <cell r="DY984">
            <v>0</v>
          </cell>
          <cell r="DZ984">
            <v>0</v>
          </cell>
          <cell r="EA984">
            <v>0</v>
          </cell>
          <cell r="EB984">
            <v>0</v>
          </cell>
          <cell r="EC984">
            <v>0</v>
          </cell>
        </row>
        <row r="985"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R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BA985">
            <v>0</v>
          </cell>
          <cell r="BB985">
            <v>0</v>
          </cell>
          <cell r="BH985">
            <v>0</v>
          </cell>
          <cell r="BI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U985">
            <v>0</v>
          </cell>
          <cell r="BV985">
            <v>0</v>
          </cell>
          <cell r="BW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N985">
            <v>0</v>
          </cell>
          <cell r="CO985">
            <v>0</v>
          </cell>
          <cell r="CP985">
            <v>0</v>
          </cell>
          <cell r="CS985">
            <v>1</v>
          </cell>
          <cell r="CU985">
            <v>0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B985">
            <v>0</v>
          </cell>
          <cell r="DC985">
            <v>0</v>
          </cell>
          <cell r="DD985">
            <v>0</v>
          </cell>
          <cell r="DE985">
            <v>0</v>
          </cell>
          <cell r="DF985">
            <v>0</v>
          </cell>
          <cell r="DG985">
            <v>0</v>
          </cell>
          <cell r="DH985">
            <v>0</v>
          </cell>
          <cell r="DL985">
            <v>0</v>
          </cell>
          <cell r="DM985">
            <v>0</v>
          </cell>
          <cell r="DO985">
            <v>0</v>
          </cell>
          <cell r="DQ985">
            <v>0</v>
          </cell>
          <cell r="DW985">
            <v>0</v>
          </cell>
          <cell r="DX985">
            <v>1</v>
          </cell>
          <cell r="DY985">
            <v>0</v>
          </cell>
          <cell r="DZ985">
            <v>0</v>
          </cell>
          <cell r="EA985">
            <v>0</v>
          </cell>
          <cell r="EB985">
            <v>0</v>
          </cell>
          <cell r="EC985">
            <v>0</v>
          </cell>
        </row>
        <row r="986"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R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BA986">
            <v>0</v>
          </cell>
          <cell r="BB986">
            <v>0</v>
          </cell>
          <cell r="BH986">
            <v>0</v>
          </cell>
          <cell r="BI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U986">
            <v>0</v>
          </cell>
          <cell r="BV986">
            <v>0</v>
          </cell>
          <cell r="BW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N986">
            <v>0</v>
          </cell>
          <cell r="CO986">
            <v>0</v>
          </cell>
          <cell r="CP986">
            <v>0</v>
          </cell>
          <cell r="CS986">
            <v>0</v>
          </cell>
          <cell r="CU986">
            <v>0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B986">
            <v>0</v>
          </cell>
          <cell r="DC986">
            <v>0</v>
          </cell>
          <cell r="DD986">
            <v>0</v>
          </cell>
          <cell r="DE986">
            <v>0</v>
          </cell>
          <cell r="DF986">
            <v>0</v>
          </cell>
          <cell r="DG986">
            <v>0</v>
          </cell>
          <cell r="DH986">
            <v>0</v>
          </cell>
          <cell r="DL986">
            <v>0</v>
          </cell>
          <cell r="DM986">
            <v>0</v>
          </cell>
          <cell r="DO986">
            <v>0</v>
          </cell>
          <cell r="DQ986">
            <v>0</v>
          </cell>
          <cell r="DW986">
            <v>0</v>
          </cell>
          <cell r="DX986">
            <v>0</v>
          </cell>
          <cell r="DY986">
            <v>1</v>
          </cell>
          <cell r="DZ986">
            <v>0</v>
          </cell>
          <cell r="EA986">
            <v>0</v>
          </cell>
          <cell r="EB986">
            <v>0</v>
          </cell>
          <cell r="EC986">
            <v>0</v>
          </cell>
        </row>
        <row r="987"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R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BA987">
            <v>0</v>
          </cell>
          <cell r="BB987">
            <v>0</v>
          </cell>
          <cell r="BH987">
            <v>0</v>
          </cell>
          <cell r="BI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U987">
            <v>0</v>
          </cell>
          <cell r="BV987">
            <v>0</v>
          </cell>
          <cell r="BW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  <cell r="CN987">
            <v>0</v>
          </cell>
          <cell r="CO987">
            <v>0</v>
          </cell>
          <cell r="CP987">
            <v>0</v>
          </cell>
          <cell r="CS987">
            <v>0</v>
          </cell>
          <cell r="CU987">
            <v>0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B987">
            <v>0</v>
          </cell>
          <cell r="DC987">
            <v>0</v>
          </cell>
          <cell r="DD987">
            <v>0</v>
          </cell>
          <cell r="DE987">
            <v>0</v>
          </cell>
          <cell r="DF987">
            <v>0</v>
          </cell>
          <cell r="DG987">
            <v>0</v>
          </cell>
          <cell r="DH987">
            <v>0</v>
          </cell>
          <cell r="DL987">
            <v>0</v>
          </cell>
          <cell r="DM987">
            <v>0</v>
          </cell>
          <cell r="DO987">
            <v>0</v>
          </cell>
          <cell r="DQ987">
            <v>0</v>
          </cell>
          <cell r="DW987">
            <v>0</v>
          </cell>
          <cell r="DX987">
            <v>0</v>
          </cell>
          <cell r="DY987">
            <v>1</v>
          </cell>
          <cell r="DZ987">
            <v>0</v>
          </cell>
          <cell r="EA987">
            <v>0</v>
          </cell>
          <cell r="EB987">
            <v>0</v>
          </cell>
          <cell r="EC987">
            <v>0</v>
          </cell>
        </row>
        <row r="988"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R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BA988">
            <v>0</v>
          </cell>
          <cell r="BB988">
            <v>0</v>
          </cell>
          <cell r="BH988">
            <v>0</v>
          </cell>
          <cell r="BI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U988">
            <v>0</v>
          </cell>
          <cell r="BV988">
            <v>0</v>
          </cell>
          <cell r="BW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N988">
            <v>0</v>
          </cell>
          <cell r="CO988">
            <v>0</v>
          </cell>
          <cell r="CP988">
            <v>0</v>
          </cell>
          <cell r="CS988">
            <v>0</v>
          </cell>
          <cell r="CU988">
            <v>0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B988">
            <v>0</v>
          </cell>
          <cell r="DC988">
            <v>0</v>
          </cell>
          <cell r="DD988">
            <v>0</v>
          </cell>
          <cell r="DE988">
            <v>0</v>
          </cell>
          <cell r="DF988">
            <v>0</v>
          </cell>
          <cell r="DG988">
            <v>0</v>
          </cell>
          <cell r="DH988">
            <v>0</v>
          </cell>
          <cell r="DL988">
            <v>0</v>
          </cell>
          <cell r="DM988">
            <v>0</v>
          </cell>
          <cell r="DO988">
            <v>0</v>
          </cell>
          <cell r="DQ988">
            <v>0</v>
          </cell>
          <cell r="DW988">
            <v>1</v>
          </cell>
          <cell r="DX988">
            <v>0</v>
          </cell>
          <cell r="DY988">
            <v>0</v>
          </cell>
          <cell r="DZ988">
            <v>0</v>
          </cell>
          <cell r="EA988">
            <v>0</v>
          </cell>
          <cell r="EB988">
            <v>0</v>
          </cell>
          <cell r="EC988">
            <v>0</v>
          </cell>
        </row>
        <row r="989"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R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BA989">
            <v>0</v>
          </cell>
          <cell r="BB989">
            <v>0</v>
          </cell>
          <cell r="BH989">
            <v>0</v>
          </cell>
          <cell r="BI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U989">
            <v>0</v>
          </cell>
          <cell r="BV989">
            <v>0</v>
          </cell>
          <cell r="BW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N989">
            <v>0</v>
          </cell>
          <cell r="CO989">
            <v>0</v>
          </cell>
          <cell r="CP989">
            <v>0</v>
          </cell>
          <cell r="CS989">
            <v>0</v>
          </cell>
          <cell r="CU989">
            <v>0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B989">
            <v>0</v>
          </cell>
          <cell r="DC989">
            <v>0</v>
          </cell>
          <cell r="DD989">
            <v>0</v>
          </cell>
          <cell r="DE989">
            <v>0</v>
          </cell>
          <cell r="DF989">
            <v>0</v>
          </cell>
          <cell r="DG989">
            <v>0</v>
          </cell>
          <cell r="DH989">
            <v>0</v>
          </cell>
          <cell r="DL989">
            <v>0</v>
          </cell>
          <cell r="DM989">
            <v>0</v>
          </cell>
          <cell r="DO989">
            <v>0</v>
          </cell>
          <cell r="DQ989">
            <v>0</v>
          </cell>
          <cell r="DW989">
            <v>0</v>
          </cell>
          <cell r="DX989">
            <v>0</v>
          </cell>
          <cell r="DY989">
            <v>0</v>
          </cell>
          <cell r="DZ989">
            <v>0</v>
          </cell>
          <cell r="EA989">
            <v>0</v>
          </cell>
          <cell r="EB989">
            <v>0</v>
          </cell>
          <cell r="EC989">
            <v>0</v>
          </cell>
        </row>
        <row r="990"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R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BA990">
            <v>0</v>
          </cell>
          <cell r="BB990">
            <v>0</v>
          </cell>
          <cell r="BH990">
            <v>0</v>
          </cell>
          <cell r="BI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U990">
            <v>0</v>
          </cell>
          <cell r="BV990">
            <v>0</v>
          </cell>
          <cell r="BW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N990">
            <v>0</v>
          </cell>
          <cell r="CO990">
            <v>0</v>
          </cell>
          <cell r="CP990">
            <v>0</v>
          </cell>
          <cell r="CS990">
            <v>0</v>
          </cell>
          <cell r="CU990">
            <v>0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B990">
            <v>0</v>
          </cell>
          <cell r="DC990">
            <v>0</v>
          </cell>
          <cell r="DD990">
            <v>0</v>
          </cell>
          <cell r="DE990">
            <v>0</v>
          </cell>
          <cell r="DF990">
            <v>0</v>
          </cell>
          <cell r="DG990">
            <v>0</v>
          </cell>
          <cell r="DH990">
            <v>0</v>
          </cell>
          <cell r="DL990">
            <v>0</v>
          </cell>
          <cell r="DM990">
            <v>0</v>
          </cell>
          <cell r="DO990">
            <v>0</v>
          </cell>
          <cell r="DQ990">
            <v>0</v>
          </cell>
          <cell r="DW990">
            <v>1</v>
          </cell>
          <cell r="DX990">
            <v>0</v>
          </cell>
          <cell r="DY990">
            <v>0</v>
          </cell>
          <cell r="DZ990">
            <v>0</v>
          </cell>
          <cell r="EA990">
            <v>0</v>
          </cell>
          <cell r="EB990">
            <v>0</v>
          </cell>
          <cell r="EC990">
            <v>0</v>
          </cell>
        </row>
        <row r="991"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R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BA991">
            <v>0</v>
          </cell>
          <cell r="BB991">
            <v>0</v>
          </cell>
          <cell r="BH991">
            <v>0</v>
          </cell>
          <cell r="BI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U991">
            <v>0</v>
          </cell>
          <cell r="BV991">
            <v>0</v>
          </cell>
          <cell r="BW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N991">
            <v>0</v>
          </cell>
          <cell r="CO991">
            <v>0</v>
          </cell>
          <cell r="CP991">
            <v>0</v>
          </cell>
          <cell r="CS991">
            <v>0</v>
          </cell>
          <cell r="CU991">
            <v>0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B991">
            <v>0</v>
          </cell>
          <cell r="DC991">
            <v>0</v>
          </cell>
          <cell r="DD991">
            <v>0</v>
          </cell>
          <cell r="DE991">
            <v>0</v>
          </cell>
          <cell r="DF991">
            <v>0</v>
          </cell>
          <cell r="DG991">
            <v>0</v>
          </cell>
          <cell r="DH991">
            <v>0</v>
          </cell>
          <cell r="DL991">
            <v>0</v>
          </cell>
          <cell r="DM991">
            <v>0</v>
          </cell>
          <cell r="DO991">
            <v>0</v>
          </cell>
          <cell r="DQ991">
            <v>0</v>
          </cell>
          <cell r="DW991">
            <v>0</v>
          </cell>
          <cell r="DX991">
            <v>0</v>
          </cell>
          <cell r="DY991">
            <v>0</v>
          </cell>
          <cell r="DZ991">
            <v>0</v>
          </cell>
          <cell r="EA991">
            <v>0</v>
          </cell>
          <cell r="EB991">
            <v>1</v>
          </cell>
          <cell r="EC991">
            <v>0</v>
          </cell>
        </row>
        <row r="992"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R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BA992">
            <v>0</v>
          </cell>
          <cell r="BB992">
            <v>0</v>
          </cell>
          <cell r="BH992">
            <v>0</v>
          </cell>
          <cell r="BI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U992">
            <v>0</v>
          </cell>
          <cell r="BV992">
            <v>0</v>
          </cell>
          <cell r="BW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N992">
            <v>0</v>
          </cell>
          <cell r="CO992">
            <v>0</v>
          </cell>
          <cell r="CP992">
            <v>0</v>
          </cell>
          <cell r="CS992">
            <v>0</v>
          </cell>
          <cell r="CU992">
            <v>0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B992">
            <v>0</v>
          </cell>
          <cell r="DC992">
            <v>0</v>
          </cell>
          <cell r="DD992">
            <v>0</v>
          </cell>
          <cell r="DE992">
            <v>0</v>
          </cell>
          <cell r="DF992">
            <v>0</v>
          </cell>
          <cell r="DG992">
            <v>0</v>
          </cell>
          <cell r="DH992">
            <v>0</v>
          </cell>
          <cell r="DL992">
            <v>0</v>
          </cell>
          <cell r="DM992">
            <v>0</v>
          </cell>
          <cell r="DO992">
            <v>0</v>
          </cell>
          <cell r="DQ992">
            <v>0</v>
          </cell>
          <cell r="DW992">
            <v>0</v>
          </cell>
          <cell r="DX992">
            <v>0</v>
          </cell>
          <cell r="DY992">
            <v>0</v>
          </cell>
          <cell r="DZ992">
            <v>0</v>
          </cell>
          <cell r="EA992">
            <v>0</v>
          </cell>
          <cell r="EB992">
            <v>0</v>
          </cell>
          <cell r="EC992">
            <v>0</v>
          </cell>
        </row>
        <row r="993"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R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BA993">
            <v>0</v>
          </cell>
          <cell r="BB993">
            <v>0</v>
          </cell>
          <cell r="BH993">
            <v>0</v>
          </cell>
          <cell r="BI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U993">
            <v>0</v>
          </cell>
          <cell r="BV993">
            <v>0</v>
          </cell>
          <cell r="BW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N993">
            <v>0</v>
          </cell>
          <cell r="CO993">
            <v>0</v>
          </cell>
          <cell r="CP993">
            <v>0</v>
          </cell>
          <cell r="CS993">
            <v>0</v>
          </cell>
          <cell r="CU993">
            <v>0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B993">
            <v>0</v>
          </cell>
          <cell r="DC993">
            <v>0</v>
          </cell>
          <cell r="DD993">
            <v>0</v>
          </cell>
          <cell r="DE993">
            <v>0</v>
          </cell>
          <cell r="DF993">
            <v>0</v>
          </cell>
          <cell r="DG993">
            <v>0</v>
          </cell>
          <cell r="DH993">
            <v>0</v>
          </cell>
          <cell r="DL993">
            <v>0</v>
          </cell>
          <cell r="DM993">
            <v>0</v>
          </cell>
          <cell r="DO993">
            <v>0</v>
          </cell>
          <cell r="DQ993">
            <v>0</v>
          </cell>
          <cell r="DW993">
            <v>0</v>
          </cell>
          <cell r="DX993">
            <v>0</v>
          </cell>
          <cell r="DY993">
            <v>0</v>
          </cell>
          <cell r="DZ993">
            <v>0</v>
          </cell>
          <cell r="EA993">
            <v>0</v>
          </cell>
          <cell r="EB993">
            <v>0</v>
          </cell>
          <cell r="EC993">
            <v>0</v>
          </cell>
        </row>
        <row r="994"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R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BA994">
            <v>0</v>
          </cell>
          <cell r="BB994">
            <v>0</v>
          </cell>
          <cell r="BH994">
            <v>0</v>
          </cell>
          <cell r="BI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U994">
            <v>0</v>
          </cell>
          <cell r="BV994">
            <v>0</v>
          </cell>
          <cell r="BW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N994">
            <v>0</v>
          </cell>
          <cell r="CO994">
            <v>0</v>
          </cell>
          <cell r="CP994">
            <v>0</v>
          </cell>
          <cell r="CS994">
            <v>0</v>
          </cell>
          <cell r="CU994">
            <v>0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B994">
            <v>0</v>
          </cell>
          <cell r="DC994">
            <v>0</v>
          </cell>
          <cell r="DD994">
            <v>0</v>
          </cell>
          <cell r="DE994">
            <v>0</v>
          </cell>
          <cell r="DF994">
            <v>0</v>
          </cell>
          <cell r="DG994">
            <v>0</v>
          </cell>
          <cell r="DH994">
            <v>0</v>
          </cell>
          <cell r="DL994">
            <v>0</v>
          </cell>
          <cell r="DM994">
            <v>0</v>
          </cell>
          <cell r="DO994">
            <v>0</v>
          </cell>
          <cell r="DQ994">
            <v>0</v>
          </cell>
          <cell r="DW994">
            <v>0</v>
          </cell>
          <cell r="DX994">
            <v>0</v>
          </cell>
          <cell r="DY994">
            <v>0</v>
          </cell>
          <cell r="DZ994">
            <v>0</v>
          </cell>
          <cell r="EA994">
            <v>0</v>
          </cell>
          <cell r="EB994">
            <v>0</v>
          </cell>
          <cell r="EC994">
            <v>0</v>
          </cell>
        </row>
        <row r="995"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R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BA995">
            <v>0</v>
          </cell>
          <cell r="BB995">
            <v>0</v>
          </cell>
          <cell r="BH995">
            <v>0</v>
          </cell>
          <cell r="BI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U995">
            <v>0</v>
          </cell>
          <cell r="BV995">
            <v>0</v>
          </cell>
          <cell r="BW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N995">
            <v>0</v>
          </cell>
          <cell r="CO995">
            <v>0</v>
          </cell>
          <cell r="CP995">
            <v>0</v>
          </cell>
          <cell r="CS995">
            <v>0</v>
          </cell>
          <cell r="CU995">
            <v>0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B995">
            <v>0</v>
          </cell>
          <cell r="DC995">
            <v>0</v>
          </cell>
          <cell r="DD995">
            <v>0</v>
          </cell>
          <cell r="DE995">
            <v>0</v>
          </cell>
          <cell r="DF995">
            <v>0</v>
          </cell>
          <cell r="DG995">
            <v>0</v>
          </cell>
          <cell r="DH995">
            <v>0</v>
          </cell>
          <cell r="DL995">
            <v>0</v>
          </cell>
          <cell r="DM995">
            <v>0</v>
          </cell>
          <cell r="DO995">
            <v>0</v>
          </cell>
          <cell r="DQ995">
            <v>0</v>
          </cell>
          <cell r="DW995">
            <v>0</v>
          </cell>
          <cell r="DX995">
            <v>0</v>
          </cell>
          <cell r="DY995">
            <v>0</v>
          </cell>
          <cell r="DZ995">
            <v>0</v>
          </cell>
          <cell r="EA995">
            <v>0</v>
          </cell>
          <cell r="EB995">
            <v>1</v>
          </cell>
          <cell r="EC995">
            <v>0</v>
          </cell>
        </row>
        <row r="996"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R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BA996">
            <v>0</v>
          </cell>
          <cell r="BB996">
            <v>0</v>
          </cell>
          <cell r="BH996">
            <v>0</v>
          </cell>
          <cell r="BI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U996">
            <v>0</v>
          </cell>
          <cell r="BV996">
            <v>0</v>
          </cell>
          <cell r="BW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  <cell r="CN996">
            <v>0</v>
          </cell>
          <cell r="CO996">
            <v>0</v>
          </cell>
          <cell r="CP996">
            <v>0</v>
          </cell>
          <cell r="CS996">
            <v>0</v>
          </cell>
          <cell r="CU996">
            <v>0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B996">
            <v>0</v>
          </cell>
          <cell r="DC996">
            <v>0</v>
          </cell>
          <cell r="DD996">
            <v>0</v>
          </cell>
          <cell r="DE996">
            <v>0</v>
          </cell>
          <cell r="DF996">
            <v>0</v>
          </cell>
          <cell r="DG996">
            <v>0</v>
          </cell>
          <cell r="DH996">
            <v>0</v>
          </cell>
          <cell r="DL996">
            <v>0</v>
          </cell>
          <cell r="DM996">
            <v>0</v>
          </cell>
          <cell r="DO996">
            <v>0</v>
          </cell>
          <cell r="DQ996">
            <v>0</v>
          </cell>
          <cell r="DW996">
            <v>0</v>
          </cell>
          <cell r="DX996">
            <v>0</v>
          </cell>
          <cell r="DY996">
            <v>0</v>
          </cell>
          <cell r="DZ996">
            <v>1</v>
          </cell>
          <cell r="EA996">
            <v>0</v>
          </cell>
          <cell r="EB996">
            <v>0</v>
          </cell>
          <cell r="EC996">
            <v>0</v>
          </cell>
        </row>
        <row r="997"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R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BA997">
            <v>0</v>
          </cell>
          <cell r="BB997">
            <v>0</v>
          </cell>
          <cell r="BH997">
            <v>0</v>
          </cell>
          <cell r="BI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U997">
            <v>0</v>
          </cell>
          <cell r="BV997">
            <v>0</v>
          </cell>
          <cell r="BW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N997">
            <v>0</v>
          </cell>
          <cell r="CO997">
            <v>0</v>
          </cell>
          <cell r="CP997">
            <v>0</v>
          </cell>
          <cell r="CS997">
            <v>0</v>
          </cell>
          <cell r="CU997">
            <v>0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B997">
            <v>0</v>
          </cell>
          <cell r="DC997">
            <v>0</v>
          </cell>
          <cell r="DD997">
            <v>0</v>
          </cell>
          <cell r="DE997">
            <v>0</v>
          </cell>
          <cell r="DF997">
            <v>0</v>
          </cell>
          <cell r="DG997">
            <v>0</v>
          </cell>
          <cell r="DH997">
            <v>0</v>
          </cell>
          <cell r="DL997">
            <v>0</v>
          </cell>
          <cell r="DM997">
            <v>0</v>
          </cell>
          <cell r="DO997">
            <v>0</v>
          </cell>
          <cell r="DQ997">
            <v>0</v>
          </cell>
          <cell r="DW997">
            <v>0</v>
          </cell>
          <cell r="DX997">
            <v>0</v>
          </cell>
          <cell r="DY997">
            <v>0</v>
          </cell>
          <cell r="DZ997">
            <v>0</v>
          </cell>
          <cell r="EA997">
            <v>0</v>
          </cell>
          <cell r="EB997">
            <v>1</v>
          </cell>
          <cell r="EC997">
            <v>0</v>
          </cell>
        </row>
        <row r="998"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R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BA998">
            <v>0</v>
          </cell>
          <cell r="BB998">
            <v>0</v>
          </cell>
          <cell r="BH998">
            <v>0</v>
          </cell>
          <cell r="BI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U998">
            <v>0</v>
          </cell>
          <cell r="BV998">
            <v>0</v>
          </cell>
          <cell r="BW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  <cell r="CN998">
            <v>0</v>
          </cell>
          <cell r="CO998">
            <v>0</v>
          </cell>
          <cell r="CP998">
            <v>0</v>
          </cell>
          <cell r="CS998">
            <v>0</v>
          </cell>
          <cell r="CU998">
            <v>0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B998">
            <v>0</v>
          </cell>
          <cell r="DC998">
            <v>0</v>
          </cell>
          <cell r="DD998">
            <v>0</v>
          </cell>
          <cell r="DE998">
            <v>0</v>
          </cell>
          <cell r="DF998">
            <v>0</v>
          </cell>
          <cell r="DG998">
            <v>0</v>
          </cell>
          <cell r="DH998">
            <v>0</v>
          </cell>
          <cell r="DL998">
            <v>0</v>
          </cell>
          <cell r="DM998">
            <v>0</v>
          </cell>
          <cell r="DO998">
            <v>0</v>
          </cell>
          <cell r="DQ998">
            <v>0</v>
          </cell>
          <cell r="DW998">
            <v>0</v>
          </cell>
          <cell r="DX998">
            <v>0</v>
          </cell>
          <cell r="DY998">
            <v>0</v>
          </cell>
          <cell r="DZ998">
            <v>0</v>
          </cell>
          <cell r="EA998">
            <v>0</v>
          </cell>
          <cell r="EB998">
            <v>0</v>
          </cell>
          <cell r="EC998">
            <v>0</v>
          </cell>
        </row>
        <row r="999"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R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BA999">
            <v>0</v>
          </cell>
          <cell r="BB999">
            <v>0</v>
          </cell>
          <cell r="BH999">
            <v>0</v>
          </cell>
          <cell r="BI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U999">
            <v>0</v>
          </cell>
          <cell r="BV999">
            <v>0</v>
          </cell>
          <cell r="BW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  <cell r="CN999">
            <v>0</v>
          </cell>
          <cell r="CO999">
            <v>0</v>
          </cell>
          <cell r="CP999">
            <v>0</v>
          </cell>
          <cell r="CS999">
            <v>0</v>
          </cell>
          <cell r="CU999">
            <v>0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B999">
            <v>0</v>
          </cell>
          <cell r="DC999">
            <v>0</v>
          </cell>
          <cell r="DD999">
            <v>0</v>
          </cell>
          <cell r="DE999">
            <v>0</v>
          </cell>
          <cell r="DF999">
            <v>0</v>
          </cell>
          <cell r="DG999">
            <v>0</v>
          </cell>
          <cell r="DH999">
            <v>0</v>
          </cell>
          <cell r="DL999">
            <v>0</v>
          </cell>
          <cell r="DM999">
            <v>0</v>
          </cell>
          <cell r="DO999">
            <v>0</v>
          </cell>
          <cell r="DQ999">
            <v>0</v>
          </cell>
          <cell r="DW999">
            <v>0</v>
          </cell>
          <cell r="DX999">
            <v>0</v>
          </cell>
          <cell r="DY999">
            <v>0</v>
          </cell>
          <cell r="DZ999">
            <v>0</v>
          </cell>
          <cell r="EA999">
            <v>0</v>
          </cell>
          <cell r="EB999">
            <v>0</v>
          </cell>
          <cell r="EC999">
            <v>0</v>
          </cell>
        </row>
        <row r="1000"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R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BA1000">
            <v>0</v>
          </cell>
          <cell r="BB1000">
            <v>0</v>
          </cell>
          <cell r="BH1000">
            <v>0</v>
          </cell>
          <cell r="BI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U1000">
            <v>0</v>
          </cell>
          <cell r="BV1000">
            <v>0</v>
          </cell>
          <cell r="BW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N1000">
            <v>0</v>
          </cell>
          <cell r="CO1000">
            <v>0</v>
          </cell>
          <cell r="CP1000">
            <v>0</v>
          </cell>
          <cell r="CS1000">
            <v>0</v>
          </cell>
          <cell r="CU1000">
            <v>0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B1000">
            <v>0</v>
          </cell>
          <cell r="DC1000">
            <v>0</v>
          </cell>
          <cell r="DD1000">
            <v>0</v>
          </cell>
          <cell r="DE1000">
            <v>0</v>
          </cell>
          <cell r="DF1000">
            <v>0</v>
          </cell>
          <cell r="DG1000">
            <v>0</v>
          </cell>
          <cell r="DH1000">
            <v>0</v>
          </cell>
          <cell r="DL1000">
            <v>0</v>
          </cell>
          <cell r="DM1000">
            <v>0</v>
          </cell>
          <cell r="DO1000">
            <v>0</v>
          </cell>
          <cell r="DQ1000">
            <v>0</v>
          </cell>
          <cell r="DW1000">
            <v>1</v>
          </cell>
          <cell r="DX1000">
            <v>0</v>
          </cell>
          <cell r="DY1000">
            <v>0</v>
          </cell>
          <cell r="DZ1000">
            <v>0</v>
          </cell>
          <cell r="EA1000">
            <v>0</v>
          </cell>
          <cell r="EB1000">
            <v>0</v>
          </cell>
          <cell r="EC1000">
            <v>0</v>
          </cell>
        </row>
        <row r="1001"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R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BA1001">
            <v>0</v>
          </cell>
          <cell r="BB1001">
            <v>0</v>
          </cell>
          <cell r="BH1001">
            <v>0</v>
          </cell>
          <cell r="BI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U1001">
            <v>0</v>
          </cell>
          <cell r="BV1001">
            <v>0</v>
          </cell>
          <cell r="BW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  <cell r="CN1001">
            <v>0</v>
          </cell>
          <cell r="CO1001">
            <v>0</v>
          </cell>
          <cell r="CP1001">
            <v>0</v>
          </cell>
          <cell r="CS1001">
            <v>0</v>
          </cell>
          <cell r="CU1001">
            <v>0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B1001">
            <v>0</v>
          </cell>
          <cell r="DC1001">
            <v>0</v>
          </cell>
          <cell r="DD1001">
            <v>0</v>
          </cell>
          <cell r="DE1001">
            <v>0</v>
          </cell>
          <cell r="DF1001">
            <v>0</v>
          </cell>
          <cell r="DG1001">
            <v>0</v>
          </cell>
          <cell r="DH1001">
            <v>0</v>
          </cell>
          <cell r="DL1001">
            <v>0</v>
          </cell>
          <cell r="DM1001">
            <v>0</v>
          </cell>
          <cell r="DO1001">
            <v>0</v>
          </cell>
          <cell r="DQ1001">
            <v>0</v>
          </cell>
          <cell r="DW1001">
            <v>0</v>
          </cell>
          <cell r="DX1001">
            <v>0</v>
          </cell>
          <cell r="DY1001">
            <v>0</v>
          </cell>
          <cell r="DZ1001">
            <v>0</v>
          </cell>
          <cell r="EA1001">
            <v>0</v>
          </cell>
          <cell r="EB1001">
            <v>0</v>
          </cell>
          <cell r="EC1001">
            <v>0</v>
          </cell>
        </row>
        <row r="1002"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R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BA1002">
            <v>0</v>
          </cell>
          <cell r="BB1002">
            <v>0</v>
          </cell>
          <cell r="BH1002">
            <v>0</v>
          </cell>
          <cell r="BI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U1002">
            <v>0</v>
          </cell>
          <cell r="BV1002">
            <v>0</v>
          </cell>
          <cell r="BW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N1002">
            <v>0</v>
          </cell>
          <cell r="CO1002">
            <v>0</v>
          </cell>
          <cell r="CP1002">
            <v>0</v>
          </cell>
          <cell r="CS1002">
            <v>0</v>
          </cell>
          <cell r="CU1002">
            <v>0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B1002">
            <v>0</v>
          </cell>
          <cell r="DC1002">
            <v>0</v>
          </cell>
          <cell r="DD1002">
            <v>0</v>
          </cell>
          <cell r="DE1002">
            <v>0</v>
          </cell>
          <cell r="DF1002">
            <v>0</v>
          </cell>
          <cell r="DG1002">
            <v>0</v>
          </cell>
          <cell r="DH1002">
            <v>0</v>
          </cell>
          <cell r="DL1002">
            <v>0</v>
          </cell>
          <cell r="DM1002">
            <v>0</v>
          </cell>
          <cell r="DO1002">
            <v>0</v>
          </cell>
          <cell r="DQ1002">
            <v>0</v>
          </cell>
          <cell r="DW1002">
            <v>0</v>
          </cell>
          <cell r="DX1002">
            <v>0</v>
          </cell>
          <cell r="DY1002">
            <v>0</v>
          </cell>
          <cell r="DZ1002">
            <v>0</v>
          </cell>
          <cell r="EA1002">
            <v>0</v>
          </cell>
          <cell r="EB1002">
            <v>0</v>
          </cell>
          <cell r="EC1002">
            <v>0</v>
          </cell>
        </row>
        <row r="1003"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R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BA1003">
            <v>0</v>
          </cell>
          <cell r="BB1003">
            <v>0</v>
          </cell>
          <cell r="BH1003">
            <v>0</v>
          </cell>
          <cell r="BI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U1003">
            <v>0</v>
          </cell>
          <cell r="BV1003">
            <v>0</v>
          </cell>
          <cell r="BW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N1003">
            <v>0</v>
          </cell>
          <cell r="CO1003">
            <v>0</v>
          </cell>
          <cell r="CP1003">
            <v>0</v>
          </cell>
          <cell r="CS1003">
            <v>0</v>
          </cell>
          <cell r="CU1003">
            <v>0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B1003">
            <v>0</v>
          </cell>
          <cell r="DC1003">
            <v>0</v>
          </cell>
          <cell r="DD1003">
            <v>0</v>
          </cell>
          <cell r="DE1003">
            <v>0</v>
          </cell>
          <cell r="DF1003">
            <v>0</v>
          </cell>
          <cell r="DG1003">
            <v>0</v>
          </cell>
          <cell r="DH1003">
            <v>0</v>
          </cell>
          <cell r="DL1003">
            <v>0</v>
          </cell>
          <cell r="DM1003">
            <v>0</v>
          </cell>
          <cell r="DO1003">
            <v>0</v>
          </cell>
          <cell r="DQ1003">
            <v>0</v>
          </cell>
          <cell r="DW1003">
            <v>0</v>
          </cell>
          <cell r="DX1003">
            <v>0</v>
          </cell>
          <cell r="DY1003">
            <v>0</v>
          </cell>
          <cell r="DZ1003">
            <v>0</v>
          </cell>
          <cell r="EA1003">
            <v>0</v>
          </cell>
          <cell r="EB1003">
            <v>0</v>
          </cell>
          <cell r="EC1003">
            <v>0</v>
          </cell>
        </row>
        <row r="1004"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R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BA1004">
            <v>0</v>
          </cell>
          <cell r="BB1004">
            <v>0</v>
          </cell>
          <cell r="BH1004">
            <v>0</v>
          </cell>
          <cell r="BI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U1004">
            <v>0</v>
          </cell>
          <cell r="BV1004">
            <v>0</v>
          </cell>
          <cell r="BW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N1004">
            <v>0</v>
          </cell>
          <cell r="CO1004">
            <v>0</v>
          </cell>
          <cell r="CP1004">
            <v>0</v>
          </cell>
          <cell r="CS1004">
            <v>0</v>
          </cell>
          <cell r="CU1004">
            <v>0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B1004">
            <v>0</v>
          </cell>
          <cell r="DC1004">
            <v>0</v>
          </cell>
          <cell r="DD1004">
            <v>0</v>
          </cell>
          <cell r="DE1004">
            <v>0</v>
          </cell>
          <cell r="DF1004">
            <v>0</v>
          </cell>
          <cell r="DG1004">
            <v>0</v>
          </cell>
          <cell r="DH1004">
            <v>0</v>
          </cell>
          <cell r="DL1004">
            <v>0</v>
          </cell>
          <cell r="DM1004">
            <v>0</v>
          </cell>
          <cell r="DO1004">
            <v>0</v>
          </cell>
          <cell r="DQ1004">
            <v>0</v>
          </cell>
          <cell r="DW1004">
            <v>0</v>
          </cell>
          <cell r="DX1004">
            <v>0</v>
          </cell>
          <cell r="DY1004">
            <v>0</v>
          </cell>
          <cell r="DZ1004">
            <v>0</v>
          </cell>
          <cell r="EA1004">
            <v>0</v>
          </cell>
          <cell r="EB1004">
            <v>0</v>
          </cell>
          <cell r="EC1004">
            <v>0</v>
          </cell>
        </row>
        <row r="1005"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R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BA1005">
            <v>0</v>
          </cell>
          <cell r="BB1005">
            <v>0</v>
          </cell>
          <cell r="BH1005">
            <v>0</v>
          </cell>
          <cell r="BI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U1005">
            <v>0</v>
          </cell>
          <cell r="BV1005">
            <v>0</v>
          </cell>
          <cell r="BW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N1005">
            <v>0</v>
          </cell>
          <cell r="CO1005">
            <v>0</v>
          </cell>
          <cell r="CP1005">
            <v>0</v>
          </cell>
          <cell r="CS1005">
            <v>0</v>
          </cell>
          <cell r="CU1005">
            <v>0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B1005">
            <v>0</v>
          </cell>
          <cell r="DC1005">
            <v>0</v>
          </cell>
          <cell r="DD1005">
            <v>0</v>
          </cell>
          <cell r="DE1005">
            <v>0</v>
          </cell>
          <cell r="DF1005">
            <v>0</v>
          </cell>
          <cell r="DG1005">
            <v>0</v>
          </cell>
          <cell r="DH1005">
            <v>0</v>
          </cell>
          <cell r="DL1005">
            <v>0</v>
          </cell>
          <cell r="DM1005">
            <v>0</v>
          </cell>
          <cell r="DO1005">
            <v>0</v>
          </cell>
          <cell r="DQ1005">
            <v>0</v>
          </cell>
          <cell r="DW1005">
            <v>0</v>
          </cell>
          <cell r="DX1005">
            <v>0</v>
          </cell>
          <cell r="DY1005">
            <v>0</v>
          </cell>
          <cell r="DZ1005">
            <v>0</v>
          </cell>
          <cell r="EA1005">
            <v>0</v>
          </cell>
          <cell r="EB1005">
            <v>0</v>
          </cell>
          <cell r="EC1005">
            <v>0</v>
          </cell>
        </row>
        <row r="1006"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R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BA1006">
            <v>0</v>
          </cell>
          <cell r="BB1006">
            <v>0</v>
          </cell>
          <cell r="BH1006">
            <v>0</v>
          </cell>
          <cell r="BI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U1006">
            <v>0</v>
          </cell>
          <cell r="BV1006">
            <v>0</v>
          </cell>
          <cell r="BW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N1006">
            <v>0</v>
          </cell>
          <cell r="CO1006">
            <v>0</v>
          </cell>
          <cell r="CP1006">
            <v>0</v>
          </cell>
          <cell r="CS1006">
            <v>0</v>
          </cell>
          <cell r="CU1006">
            <v>0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B1006">
            <v>0</v>
          </cell>
          <cell r="DC1006">
            <v>0</v>
          </cell>
          <cell r="DD1006">
            <v>0</v>
          </cell>
          <cell r="DE1006">
            <v>0</v>
          </cell>
          <cell r="DF1006">
            <v>0</v>
          </cell>
          <cell r="DG1006">
            <v>0</v>
          </cell>
          <cell r="DH1006">
            <v>0</v>
          </cell>
          <cell r="DL1006">
            <v>0</v>
          </cell>
          <cell r="DM1006">
            <v>0</v>
          </cell>
          <cell r="DO1006">
            <v>0</v>
          </cell>
          <cell r="DQ1006">
            <v>0</v>
          </cell>
          <cell r="DW1006">
            <v>0</v>
          </cell>
          <cell r="DX1006">
            <v>0</v>
          </cell>
          <cell r="DY1006">
            <v>0</v>
          </cell>
          <cell r="DZ1006">
            <v>0</v>
          </cell>
          <cell r="EA1006">
            <v>0</v>
          </cell>
          <cell r="EB1006">
            <v>0</v>
          </cell>
          <cell r="EC1006">
            <v>0</v>
          </cell>
        </row>
        <row r="1007"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R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BA1007">
            <v>0</v>
          </cell>
          <cell r="BB1007">
            <v>0</v>
          </cell>
          <cell r="BH1007">
            <v>0</v>
          </cell>
          <cell r="BI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U1007">
            <v>0</v>
          </cell>
          <cell r="BV1007">
            <v>0</v>
          </cell>
          <cell r="BW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N1007">
            <v>0</v>
          </cell>
          <cell r="CO1007">
            <v>0</v>
          </cell>
          <cell r="CP1007">
            <v>0</v>
          </cell>
          <cell r="CS1007">
            <v>0</v>
          </cell>
          <cell r="CU1007">
            <v>0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B1007">
            <v>0</v>
          </cell>
          <cell r="DC1007">
            <v>0</v>
          </cell>
          <cell r="DD1007">
            <v>0</v>
          </cell>
          <cell r="DE1007">
            <v>0</v>
          </cell>
          <cell r="DF1007">
            <v>0</v>
          </cell>
          <cell r="DG1007">
            <v>0</v>
          </cell>
          <cell r="DH1007">
            <v>0</v>
          </cell>
          <cell r="DL1007">
            <v>0</v>
          </cell>
          <cell r="DM1007">
            <v>0</v>
          </cell>
          <cell r="DO1007">
            <v>0</v>
          </cell>
          <cell r="DQ1007">
            <v>0</v>
          </cell>
          <cell r="DW1007">
            <v>0</v>
          </cell>
          <cell r="DX1007">
            <v>0</v>
          </cell>
          <cell r="DY1007">
            <v>0</v>
          </cell>
          <cell r="DZ1007">
            <v>0</v>
          </cell>
          <cell r="EA1007">
            <v>0</v>
          </cell>
          <cell r="EB1007">
            <v>0</v>
          </cell>
          <cell r="EC1007">
            <v>0</v>
          </cell>
        </row>
        <row r="1008"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R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BA1008">
            <v>0</v>
          </cell>
          <cell r="BB1008">
            <v>0</v>
          </cell>
          <cell r="BH1008">
            <v>0</v>
          </cell>
          <cell r="BI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U1008">
            <v>0</v>
          </cell>
          <cell r="BV1008">
            <v>0</v>
          </cell>
          <cell r="BW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N1008">
            <v>0</v>
          </cell>
          <cell r="CO1008">
            <v>0</v>
          </cell>
          <cell r="CP1008">
            <v>0</v>
          </cell>
          <cell r="CS1008">
            <v>0</v>
          </cell>
          <cell r="CU1008">
            <v>0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B1008">
            <v>0</v>
          </cell>
          <cell r="DC1008">
            <v>0</v>
          </cell>
          <cell r="DD1008">
            <v>0</v>
          </cell>
          <cell r="DE1008">
            <v>0</v>
          </cell>
          <cell r="DF1008">
            <v>0</v>
          </cell>
          <cell r="DG1008">
            <v>0</v>
          </cell>
          <cell r="DH1008">
            <v>0</v>
          </cell>
          <cell r="DL1008">
            <v>0</v>
          </cell>
          <cell r="DM1008">
            <v>0</v>
          </cell>
          <cell r="DO1008">
            <v>0</v>
          </cell>
          <cell r="DQ1008">
            <v>0</v>
          </cell>
          <cell r="DW1008">
            <v>0</v>
          </cell>
          <cell r="DX1008">
            <v>0</v>
          </cell>
          <cell r="DY1008">
            <v>0</v>
          </cell>
          <cell r="DZ1008">
            <v>0</v>
          </cell>
          <cell r="EA1008">
            <v>0</v>
          </cell>
          <cell r="EB1008">
            <v>0</v>
          </cell>
          <cell r="EC1008">
            <v>0</v>
          </cell>
        </row>
        <row r="1009"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R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BA1009">
            <v>0</v>
          </cell>
          <cell r="BB1009">
            <v>0</v>
          </cell>
          <cell r="BH1009">
            <v>0</v>
          </cell>
          <cell r="BI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U1009">
            <v>0</v>
          </cell>
          <cell r="BV1009">
            <v>0</v>
          </cell>
          <cell r="BW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N1009">
            <v>0</v>
          </cell>
          <cell r="CO1009">
            <v>0</v>
          </cell>
          <cell r="CP1009">
            <v>0</v>
          </cell>
          <cell r="CS1009">
            <v>0</v>
          </cell>
          <cell r="CU1009">
            <v>0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B1009">
            <v>0</v>
          </cell>
          <cell r="DC1009">
            <v>0</v>
          </cell>
          <cell r="DD1009">
            <v>0</v>
          </cell>
          <cell r="DE1009">
            <v>0</v>
          </cell>
          <cell r="DF1009">
            <v>0</v>
          </cell>
          <cell r="DG1009">
            <v>0</v>
          </cell>
          <cell r="DH1009">
            <v>0</v>
          </cell>
          <cell r="DL1009">
            <v>0</v>
          </cell>
          <cell r="DM1009">
            <v>0</v>
          </cell>
          <cell r="DO1009">
            <v>0</v>
          </cell>
          <cell r="DQ1009">
            <v>0</v>
          </cell>
          <cell r="DW1009">
            <v>0</v>
          </cell>
          <cell r="DX1009">
            <v>0</v>
          </cell>
          <cell r="DY1009">
            <v>0</v>
          </cell>
          <cell r="DZ1009">
            <v>0</v>
          </cell>
          <cell r="EA1009">
            <v>0</v>
          </cell>
          <cell r="EB1009">
            <v>0</v>
          </cell>
          <cell r="EC1009">
            <v>0</v>
          </cell>
        </row>
        <row r="1010"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R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BA1010">
            <v>0</v>
          </cell>
          <cell r="BB1010">
            <v>0</v>
          </cell>
          <cell r="BH1010">
            <v>0</v>
          </cell>
          <cell r="BI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U1010">
            <v>0</v>
          </cell>
          <cell r="BV1010">
            <v>0</v>
          </cell>
          <cell r="BW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N1010">
            <v>0</v>
          </cell>
          <cell r="CO1010">
            <v>0</v>
          </cell>
          <cell r="CP1010">
            <v>0</v>
          </cell>
          <cell r="CS1010">
            <v>0</v>
          </cell>
          <cell r="CU1010">
            <v>0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B1010">
            <v>0</v>
          </cell>
          <cell r="DC1010">
            <v>0</v>
          </cell>
          <cell r="DD1010">
            <v>0</v>
          </cell>
          <cell r="DE1010">
            <v>0</v>
          </cell>
          <cell r="DF1010">
            <v>0</v>
          </cell>
          <cell r="DG1010">
            <v>0</v>
          </cell>
          <cell r="DH1010">
            <v>0</v>
          </cell>
          <cell r="DL1010">
            <v>0</v>
          </cell>
          <cell r="DM1010">
            <v>0</v>
          </cell>
          <cell r="DO1010">
            <v>0</v>
          </cell>
          <cell r="DQ1010">
            <v>0</v>
          </cell>
          <cell r="DW1010">
            <v>0</v>
          </cell>
          <cell r="DX1010">
            <v>0</v>
          </cell>
          <cell r="DY1010">
            <v>0</v>
          </cell>
          <cell r="DZ1010">
            <v>0</v>
          </cell>
          <cell r="EA1010">
            <v>0</v>
          </cell>
          <cell r="EB1010">
            <v>0</v>
          </cell>
          <cell r="EC1010">
            <v>0</v>
          </cell>
        </row>
        <row r="1011"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R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BA1011">
            <v>0</v>
          </cell>
          <cell r="BB1011">
            <v>0</v>
          </cell>
          <cell r="BH1011">
            <v>0</v>
          </cell>
          <cell r="BI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U1011">
            <v>0</v>
          </cell>
          <cell r="BV1011">
            <v>0</v>
          </cell>
          <cell r="BW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N1011">
            <v>0</v>
          </cell>
          <cell r="CO1011">
            <v>0</v>
          </cell>
          <cell r="CP1011">
            <v>0</v>
          </cell>
          <cell r="CS1011">
            <v>0</v>
          </cell>
          <cell r="CU1011">
            <v>0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B1011">
            <v>0</v>
          </cell>
          <cell r="DC1011">
            <v>0</v>
          </cell>
          <cell r="DD1011">
            <v>0</v>
          </cell>
          <cell r="DE1011">
            <v>0</v>
          </cell>
          <cell r="DF1011">
            <v>0</v>
          </cell>
          <cell r="DG1011">
            <v>0</v>
          </cell>
          <cell r="DH1011">
            <v>0</v>
          </cell>
          <cell r="DL1011">
            <v>0</v>
          </cell>
          <cell r="DM1011">
            <v>0</v>
          </cell>
          <cell r="DO1011">
            <v>0</v>
          </cell>
          <cell r="DQ1011">
            <v>0</v>
          </cell>
          <cell r="DW1011">
            <v>0</v>
          </cell>
          <cell r="DX1011">
            <v>0</v>
          </cell>
          <cell r="DY1011">
            <v>0</v>
          </cell>
          <cell r="DZ1011">
            <v>0</v>
          </cell>
          <cell r="EA1011">
            <v>0</v>
          </cell>
          <cell r="EB1011">
            <v>0</v>
          </cell>
          <cell r="EC1011">
            <v>0</v>
          </cell>
        </row>
        <row r="1012"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R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BA1012">
            <v>0</v>
          </cell>
          <cell r="BB1012">
            <v>0</v>
          </cell>
          <cell r="BH1012">
            <v>0</v>
          </cell>
          <cell r="BI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U1012">
            <v>0</v>
          </cell>
          <cell r="BV1012">
            <v>0</v>
          </cell>
          <cell r="BW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N1012">
            <v>0</v>
          </cell>
          <cell r="CO1012">
            <v>0</v>
          </cell>
          <cell r="CP1012">
            <v>0</v>
          </cell>
          <cell r="CS1012">
            <v>0</v>
          </cell>
          <cell r="CU1012">
            <v>0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B1012">
            <v>0</v>
          </cell>
          <cell r="DC1012">
            <v>0</v>
          </cell>
          <cell r="DD1012">
            <v>0</v>
          </cell>
          <cell r="DE1012">
            <v>0</v>
          </cell>
          <cell r="DF1012">
            <v>0</v>
          </cell>
          <cell r="DG1012">
            <v>0</v>
          </cell>
          <cell r="DH1012">
            <v>0</v>
          </cell>
          <cell r="DL1012">
            <v>0</v>
          </cell>
          <cell r="DM1012">
            <v>0</v>
          </cell>
          <cell r="DO1012">
            <v>0</v>
          </cell>
          <cell r="DQ1012">
            <v>0</v>
          </cell>
          <cell r="DW1012">
            <v>0</v>
          </cell>
          <cell r="DX1012">
            <v>0</v>
          </cell>
          <cell r="DY1012">
            <v>0</v>
          </cell>
          <cell r="DZ1012">
            <v>0</v>
          </cell>
          <cell r="EA1012">
            <v>0</v>
          </cell>
          <cell r="EB1012">
            <v>0</v>
          </cell>
          <cell r="EC1012">
            <v>0</v>
          </cell>
        </row>
        <row r="1013"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R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BA1013">
            <v>0</v>
          </cell>
          <cell r="BB1013">
            <v>0</v>
          </cell>
          <cell r="BH1013">
            <v>0</v>
          </cell>
          <cell r="BI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U1013">
            <v>0</v>
          </cell>
          <cell r="BV1013">
            <v>0</v>
          </cell>
          <cell r="BW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N1013">
            <v>0</v>
          </cell>
          <cell r="CO1013">
            <v>0</v>
          </cell>
          <cell r="CP1013">
            <v>0</v>
          </cell>
          <cell r="CS1013">
            <v>0</v>
          </cell>
          <cell r="CU1013">
            <v>0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B1013">
            <v>0</v>
          </cell>
          <cell r="DC1013">
            <v>0</v>
          </cell>
          <cell r="DD1013">
            <v>0</v>
          </cell>
          <cell r="DE1013">
            <v>0</v>
          </cell>
          <cell r="DF1013">
            <v>0</v>
          </cell>
          <cell r="DG1013">
            <v>0</v>
          </cell>
          <cell r="DH1013">
            <v>0</v>
          </cell>
          <cell r="DL1013">
            <v>0</v>
          </cell>
          <cell r="DM1013">
            <v>0</v>
          </cell>
          <cell r="DO1013">
            <v>0</v>
          </cell>
          <cell r="DQ1013">
            <v>0</v>
          </cell>
          <cell r="DW1013">
            <v>0</v>
          </cell>
          <cell r="DX1013">
            <v>0</v>
          </cell>
          <cell r="DY1013">
            <v>0</v>
          </cell>
          <cell r="DZ1013">
            <v>0</v>
          </cell>
          <cell r="EA1013">
            <v>0</v>
          </cell>
          <cell r="EB1013">
            <v>0</v>
          </cell>
          <cell r="EC1013">
            <v>0</v>
          </cell>
        </row>
        <row r="1014"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R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BA1014">
            <v>0</v>
          </cell>
          <cell r="BB1014">
            <v>0</v>
          </cell>
          <cell r="BH1014">
            <v>0</v>
          </cell>
          <cell r="BI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U1014">
            <v>0</v>
          </cell>
          <cell r="BV1014">
            <v>0</v>
          </cell>
          <cell r="BW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  <cell r="CN1014">
            <v>0</v>
          </cell>
          <cell r="CO1014">
            <v>0</v>
          </cell>
          <cell r="CP1014">
            <v>0</v>
          </cell>
          <cell r="CS1014">
            <v>0</v>
          </cell>
          <cell r="CU1014">
            <v>0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B1014">
            <v>0</v>
          </cell>
          <cell r="DC1014">
            <v>0</v>
          </cell>
          <cell r="DD1014">
            <v>0</v>
          </cell>
          <cell r="DE1014">
            <v>0</v>
          </cell>
          <cell r="DF1014">
            <v>0</v>
          </cell>
          <cell r="DG1014">
            <v>0</v>
          </cell>
          <cell r="DH1014">
            <v>0</v>
          </cell>
          <cell r="DL1014">
            <v>0</v>
          </cell>
          <cell r="DM1014">
            <v>0</v>
          </cell>
          <cell r="DO1014">
            <v>0</v>
          </cell>
          <cell r="DQ1014">
            <v>0</v>
          </cell>
          <cell r="DW1014">
            <v>0</v>
          </cell>
          <cell r="DX1014">
            <v>0</v>
          </cell>
          <cell r="DY1014">
            <v>0</v>
          </cell>
          <cell r="DZ1014">
            <v>0</v>
          </cell>
          <cell r="EA1014">
            <v>0</v>
          </cell>
          <cell r="EB1014">
            <v>0</v>
          </cell>
          <cell r="EC1014">
            <v>0</v>
          </cell>
        </row>
        <row r="1015"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R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BA1015">
            <v>0</v>
          </cell>
          <cell r="BB1015">
            <v>0</v>
          </cell>
          <cell r="BH1015">
            <v>0</v>
          </cell>
          <cell r="BI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U1015">
            <v>0</v>
          </cell>
          <cell r="BV1015">
            <v>0</v>
          </cell>
          <cell r="BW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  <cell r="CN1015">
            <v>0</v>
          </cell>
          <cell r="CO1015">
            <v>0</v>
          </cell>
          <cell r="CP1015">
            <v>0</v>
          </cell>
          <cell r="CS1015">
            <v>0</v>
          </cell>
          <cell r="CU1015">
            <v>0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B1015">
            <v>0</v>
          </cell>
          <cell r="DC1015">
            <v>0</v>
          </cell>
          <cell r="DD1015">
            <v>0</v>
          </cell>
          <cell r="DE1015">
            <v>0</v>
          </cell>
          <cell r="DF1015">
            <v>0</v>
          </cell>
          <cell r="DG1015">
            <v>0</v>
          </cell>
          <cell r="DH1015">
            <v>0</v>
          </cell>
          <cell r="DL1015">
            <v>0</v>
          </cell>
          <cell r="DM1015">
            <v>0</v>
          </cell>
          <cell r="DO1015">
            <v>0</v>
          </cell>
          <cell r="DQ1015">
            <v>0</v>
          </cell>
          <cell r="DW1015">
            <v>1</v>
          </cell>
          <cell r="DX1015">
            <v>0</v>
          </cell>
          <cell r="DY1015">
            <v>0</v>
          </cell>
          <cell r="DZ1015">
            <v>0</v>
          </cell>
          <cell r="EA1015">
            <v>0</v>
          </cell>
          <cell r="EB1015">
            <v>0</v>
          </cell>
          <cell r="EC1015">
            <v>0</v>
          </cell>
        </row>
        <row r="1016"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R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BA1016">
            <v>0</v>
          </cell>
          <cell r="BB1016">
            <v>0</v>
          </cell>
          <cell r="BH1016">
            <v>0</v>
          </cell>
          <cell r="BI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U1016">
            <v>0</v>
          </cell>
          <cell r="BV1016">
            <v>0</v>
          </cell>
          <cell r="BW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N1016">
            <v>0</v>
          </cell>
          <cell r="CO1016">
            <v>0</v>
          </cell>
          <cell r="CP1016">
            <v>0</v>
          </cell>
          <cell r="CS1016">
            <v>0</v>
          </cell>
          <cell r="CU1016">
            <v>0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1</v>
          </cell>
          <cell r="DB1016">
            <v>0</v>
          </cell>
          <cell r="DC1016">
            <v>0</v>
          </cell>
          <cell r="DD1016">
            <v>0</v>
          </cell>
          <cell r="DE1016">
            <v>0</v>
          </cell>
          <cell r="DF1016">
            <v>0</v>
          </cell>
          <cell r="DG1016">
            <v>0</v>
          </cell>
          <cell r="DH1016">
            <v>0</v>
          </cell>
          <cell r="DL1016">
            <v>0</v>
          </cell>
          <cell r="DM1016">
            <v>0</v>
          </cell>
          <cell r="DO1016">
            <v>0</v>
          </cell>
          <cell r="DQ1016">
            <v>0</v>
          </cell>
          <cell r="DW1016">
            <v>1</v>
          </cell>
          <cell r="DX1016">
            <v>0</v>
          </cell>
          <cell r="DY1016">
            <v>0</v>
          </cell>
          <cell r="DZ1016">
            <v>0</v>
          </cell>
          <cell r="EA1016">
            <v>0</v>
          </cell>
          <cell r="EB1016">
            <v>0</v>
          </cell>
          <cell r="EC1016">
            <v>0</v>
          </cell>
        </row>
        <row r="1017"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R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BA1017">
            <v>0</v>
          </cell>
          <cell r="BB1017">
            <v>0</v>
          </cell>
          <cell r="BH1017">
            <v>0</v>
          </cell>
          <cell r="BI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U1017">
            <v>1</v>
          </cell>
          <cell r="BV1017">
            <v>0</v>
          </cell>
          <cell r="BW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2</v>
          </cell>
          <cell r="CN1017">
            <v>2</v>
          </cell>
          <cell r="CO1017">
            <v>0</v>
          </cell>
          <cell r="CP1017">
            <v>0</v>
          </cell>
          <cell r="CS1017">
            <v>0</v>
          </cell>
          <cell r="CU1017">
            <v>0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B1017">
            <v>0</v>
          </cell>
          <cell r="DC1017">
            <v>0</v>
          </cell>
          <cell r="DD1017">
            <v>0</v>
          </cell>
          <cell r="DE1017">
            <v>0</v>
          </cell>
          <cell r="DF1017">
            <v>0</v>
          </cell>
          <cell r="DG1017">
            <v>0</v>
          </cell>
          <cell r="DH1017">
            <v>0</v>
          </cell>
          <cell r="DL1017">
            <v>0</v>
          </cell>
          <cell r="DM1017">
            <v>0</v>
          </cell>
          <cell r="DO1017">
            <v>0</v>
          </cell>
          <cell r="DQ1017">
            <v>0</v>
          </cell>
          <cell r="DW1017">
            <v>0</v>
          </cell>
          <cell r="DX1017">
            <v>0</v>
          </cell>
          <cell r="DY1017">
            <v>0</v>
          </cell>
          <cell r="DZ1017">
            <v>0</v>
          </cell>
          <cell r="EA1017">
            <v>0</v>
          </cell>
          <cell r="EB1017">
            <v>0</v>
          </cell>
          <cell r="EC1017">
            <v>0</v>
          </cell>
        </row>
        <row r="1018"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R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BA1018">
            <v>0</v>
          </cell>
          <cell r="BB1018">
            <v>0</v>
          </cell>
          <cell r="BH1018">
            <v>0</v>
          </cell>
          <cell r="BI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U1018">
            <v>0</v>
          </cell>
          <cell r="BV1018">
            <v>0</v>
          </cell>
          <cell r="BW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  <cell r="CN1018">
            <v>0</v>
          </cell>
          <cell r="CO1018">
            <v>0</v>
          </cell>
          <cell r="CP1018">
            <v>0</v>
          </cell>
          <cell r="CS1018">
            <v>0</v>
          </cell>
          <cell r="CU1018">
            <v>0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B1018">
            <v>0</v>
          </cell>
          <cell r="DC1018">
            <v>0</v>
          </cell>
          <cell r="DD1018">
            <v>0</v>
          </cell>
          <cell r="DE1018">
            <v>0</v>
          </cell>
          <cell r="DF1018">
            <v>0</v>
          </cell>
          <cell r="DG1018">
            <v>0</v>
          </cell>
          <cell r="DH1018">
            <v>0</v>
          </cell>
          <cell r="DL1018">
            <v>0</v>
          </cell>
          <cell r="DM1018">
            <v>0</v>
          </cell>
          <cell r="DO1018">
            <v>0</v>
          </cell>
          <cell r="DQ1018">
            <v>0</v>
          </cell>
          <cell r="DW1018">
            <v>0</v>
          </cell>
          <cell r="DX1018">
            <v>0</v>
          </cell>
          <cell r="DY1018">
            <v>0</v>
          </cell>
          <cell r="DZ1018">
            <v>0</v>
          </cell>
          <cell r="EA1018">
            <v>0</v>
          </cell>
          <cell r="EB1018">
            <v>0</v>
          </cell>
          <cell r="EC1018">
            <v>0</v>
          </cell>
        </row>
        <row r="1019"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R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BA1019">
            <v>0</v>
          </cell>
          <cell r="BB1019">
            <v>0</v>
          </cell>
          <cell r="BH1019">
            <v>0</v>
          </cell>
          <cell r="BI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U1019">
            <v>0</v>
          </cell>
          <cell r="BV1019">
            <v>0</v>
          </cell>
          <cell r="BW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  <cell r="CN1019">
            <v>0</v>
          </cell>
          <cell r="CO1019">
            <v>0</v>
          </cell>
          <cell r="CP1019">
            <v>0</v>
          </cell>
          <cell r="CS1019">
            <v>0</v>
          </cell>
          <cell r="CU1019">
            <v>0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B1019">
            <v>0</v>
          </cell>
          <cell r="DC1019">
            <v>0</v>
          </cell>
          <cell r="DD1019">
            <v>0</v>
          </cell>
          <cell r="DE1019">
            <v>0</v>
          </cell>
          <cell r="DF1019">
            <v>0</v>
          </cell>
          <cell r="DG1019">
            <v>0</v>
          </cell>
          <cell r="DH1019">
            <v>0</v>
          </cell>
          <cell r="DL1019">
            <v>0</v>
          </cell>
          <cell r="DM1019">
            <v>0</v>
          </cell>
          <cell r="DO1019">
            <v>0</v>
          </cell>
          <cell r="DQ1019">
            <v>0</v>
          </cell>
          <cell r="DW1019">
            <v>3</v>
          </cell>
          <cell r="DX1019">
            <v>0</v>
          </cell>
          <cell r="DY1019">
            <v>0</v>
          </cell>
          <cell r="DZ1019">
            <v>0</v>
          </cell>
          <cell r="EA1019">
            <v>0</v>
          </cell>
          <cell r="EB1019">
            <v>0</v>
          </cell>
          <cell r="EC1019">
            <v>0</v>
          </cell>
        </row>
        <row r="1020"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R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BA1020">
            <v>0</v>
          </cell>
          <cell r="BB1020">
            <v>0</v>
          </cell>
          <cell r="BH1020">
            <v>0</v>
          </cell>
          <cell r="BI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U1020">
            <v>0</v>
          </cell>
          <cell r="BV1020">
            <v>0</v>
          </cell>
          <cell r="BW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H1020">
            <v>6</v>
          </cell>
          <cell r="CI1020">
            <v>0</v>
          </cell>
          <cell r="CJ1020">
            <v>0</v>
          </cell>
          <cell r="CK1020">
            <v>0</v>
          </cell>
          <cell r="CN1020">
            <v>0</v>
          </cell>
          <cell r="CO1020">
            <v>0</v>
          </cell>
          <cell r="CP1020">
            <v>0</v>
          </cell>
          <cell r="CS1020">
            <v>0</v>
          </cell>
          <cell r="CU1020">
            <v>0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B1020">
            <v>0</v>
          </cell>
          <cell r="DC1020">
            <v>0</v>
          </cell>
          <cell r="DD1020">
            <v>0</v>
          </cell>
          <cell r="DE1020">
            <v>0</v>
          </cell>
          <cell r="DF1020">
            <v>0</v>
          </cell>
          <cell r="DG1020">
            <v>0</v>
          </cell>
          <cell r="DH1020">
            <v>0</v>
          </cell>
          <cell r="DL1020">
            <v>0</v>
          </cell>
          <cell r="DM1020">
            <v>0</v>
          </cell>
          <cell r="DO1020">
            <v>0</v>
          </cell>
          <cell r="DQ1020">
            <v>0</v>
          </cell>
          <cell r="DW1020">
            <v>2</v>
          </cell>
          <cell r="DX1020">
            <v>0</v>
          </cell>
          <cell r="DY1020">
            <v>0</v>
          </cell>
          <cell r="DZ1020">
            <v>0</v>
          </cell>
          <cell r="EA1020">
            <v>0</v>
          </cell>
          <cell r="EB1020">
            <v>0</v>
          </cell>
          <cell r="EC1020">
            <v>0</v>
          </cell>
        </row>
        <row r="1021"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R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BA1021">
            <v>0</v>
          </cell>
          <cell r="BB1021">
            <v>0</v>
          </cell>
          <cell r="BH1021">
            <v>0</v>
          </cell>
          <cell r="BI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U1021">
            <v>0</v>
          </cell>
          <cell r="BV1021">
            <v>0</v>
          </cell>
          <cell r="BW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  <cell r="CN1021">
            <v>0</v>
          </cell>
          <cell r="CO1021">
            <v>0</v>
          </cell>
          <cell r="CP1021">
            <v>0</v>
          </cell>
          <cell r="CS1021">
            <v>0</v>
          </cell>
          <cell r="CU1021">
            <v>0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B1021">
            <v>0</v>
          </cell>
          <cell r="DC1021">
            <v>0</v>
          </cell>
          <cell r="DD1021">
            <v>0</v>
          </cell>
          <cell r="DE1021">
            <v>0</v>
          </cell>
          <cell r="DF1021">
            <v>0</v>
          </cell>
          <cell r="DG1021">
            <v>0</v>
          </cell>
          <cell r="DH1021">
            <v>0</v>
          </cell>
          <cell r="DL1021">
            <v>0</v>
          </cell>
          <cell r="DM1021">
            <v>0</v>
          </cell>
          <cell r="DO1021">
            <v>0</v>
          </cell>
          <cell r="DQ1021">
            <v>0</v>
          </cell>
          <cell r="DW1021">
            <v>1</v>
          </cell>
          <cell r="DX1021">
            <v>0</v>
          </cell>
          <cell r="DY1021">
            <v>0</v>
          </cell>
          <cell r="DZ1021">
            <v>0</v>
          </cell>
          <cell r="EA1021">
            <v>0</v>
          </cell>
          <cell r="EB1021">
            <v>0</v>
          </cell>
          <cell r="EC1021">
            <v>0</v>
          </cell>
        </row>
        <row r="1022"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R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BA1022">
            <v>0</v>
          </cell>
          <cell r="BB1022">
            <v>0</v>
          </cell>
          <cell r="BH1022">
            <v>0</v>
          </cell>
          <cell r="BI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U1022">
            <v>0</v>
          </cell>
          <cell r="BV1022">
            <v>0</v>
          </cell>
          <cell r="BW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  <cell r="CN1022">
            <v>0</v>
          </cell>
          <cell r="CO1022">
            <v>0</v>
          </cell>
          <cell r="CP1022">
            <v>0</v>
          </cell>
          <cell r="CS1022">
            <v>0</v>
          </cell>
          <cell r="CU1022">
            <v>0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B1022">
            <v>0</v>
          </cell>
          <cell r="DC1022">
            <v>0</v>
          </cell>
          <cell r="DD1022">
            <v>0</v>
          </cell>
          <cell r="DE1022">
            <v>0</v>
          </cell>
          <cell r="DF1022">
            <v>0</v>
          </cell>
          <cell r="DG1022">
            <v>0</v>
          </cell>
          <cell r="DH1022">
            <v>0</v>
          </cell>
          <cell r="DL1022">
            <v>0</v>
          </cell>
          <cell r="DM1022">
            <v>0</v>
          </cell>
          <cell r="DO1022">
            <v>0</v>
          </cell>
          <cell r="DQ1022">
            <v>0</v>
          </cell>
          <cell r="DW1022">
            <v>2</v>
          </cell>
          <cell r="DX1022">
            <v>0</v>
          </cell>
          <cell r="DY1022">
            <v>0</v>
          </cell>
          <cell r="DZ1022">
            <v>0</v>
          </cell>
          <cell r="EA1022">
            <v>0</v>
          </cell>
          <cell r="EB1022">
            <v>0</v>
          </cell>
          <cell r="EC1022">
            <v>0</v>
          </cell>
        </row>
        <row r="1023"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R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BA1023">
            <v>0</v>
          </cell>
          <cell r="BB1023">
            <v>0</v>
          </cell>
          <cell r="BH1023">
            <v>0</v>
          </cell>
          <cell r="BI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U1023">
            <v>0</v>
          </cell>
          <cell r="BV1023">
            <v>0</v>
          </cell>
          <cell r="BW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  <cell r="CN1023">
            <v>0</v>
          </cell>
          <cell r="CO1023">
            <v>0</v>
          </cell>
          <cell r="CP1023">
            <v>0</v>
          </cell>
          <cell r="CS1023">
            <v>0</v>
          </cell>
          <cell r="CU1023">
            <v>0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B1023">
            <v>0</v>
          </cell>
          <cell r="DC1023">
            <v>0</v>
          </cell>
          <cell r="DD1023">
            <v>0</v>
          </cell>
          <cell r="DE1023">
            <v>0</v>
          </cell>
          <cell r="DF1023">
            <v>0</v>
          </cell>
          <cell r="DG1023">
            <v>0</v>
          </cell>
          <cell r="DH1023">
            <v>0</v>
          </cell>
          <cell r="DL1023">
            <v>0</v>
          </cell>
          <cell r="DM1023">
            <v>0</v>
          </cell>
          <cell r="DO1023">
            <v>0</v>
          </cell>
          <cell r="DQ1023">
            <v>0</v>
          </cell>
          <cell r="DW1023">
            <v>0</v>
          </cell>
          <cell r="DX1023">
            <v>0</v>
          </cell>
          <cell r="DY1023">
            <v>0</v>
          </cell>
          <cell r="DZ1023">
            <v>0</v>
          </cell>
          <cell r="EA1023">
            <v>0</v>
          </cell>
          <cell r="EB1023">
            <v>0</v>
          </cell>
          <cell r="EC1023">
            <v>0</v>
          </cell>
        </row>
        <row r="1024"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R1024">
            <v>0</v>
          </cell>
          <cell r="V1024">
            <v>2</v>
          </cell>
          <cell r="W1024">
            <v>3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BA1024">
            <v>0</v>
          </cell>
          <cell r="BB1024">
            <v>0</v>
          </cell>
          <cell r="BH1024">
            <v>0</v>
          </cell>
          <cell r="BI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U1024">
            <v>0</v>
          </cell>
          <cell r="BV1024">
            <v>0</v>
          </cell>
          <cell r="BW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  <cell r="CN1024">
            <v>0</v>
          </cell>
          <cell r="CO1024">
            <v>0</v>
          </cell>
          <cell r="CP1024">
            <v>0</v>
          </cell>
          <cell r="CS1024">
            <v>0</v>
          </cell>
          <cell r="CU1024">
            <v>0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B1024">
            <v>0</v>
          </cell>
          <cell r="DC1024">
            <v>0</v>
          </cell>
          <cell r="DD1024">
            <v>0</v>
          </cell>
          <cell r="DE1024">
            <v>0</v>
          </cell>
          <cell r="DF1024">
            <v>0</v>
          </cell>
          <cell r="DG1024">
            <v>0</v>
          </cell>
          <cell r="DH1024">
            <v>0</v>
          </cell>
          <cell r="DL1024">
            <v>0</v>
          </cell>
          <cell r="DM1024">
            <v>0</v>
          </cell>
          <cell r="DO1024">
            <v>0</v>
          </cell>
          <cell r="DQ1024">
            <v>0</v>
          </cell>
          <cell r="DW1024">
            <v>0</v>
          </cell>
          <cell r="DX1024">
            <v>0</v>
          </cell>
          <cell r="DY1024">
            <v>0</v>
          </cell>
          <cell r="DZ1024">
            <v>0</v>
          </cell>
          <cell r="EA1024">
            <v>0</v>
          </cell>
          <cell r="EB1024">
            <v>0</v>
          </cell>
          <cell r="EC1024">
            <v>0</v>
          </cell>
        </row>
        <row r="1025"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R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BA1025">
            <v>0</v>
          </cell>
          <cell r="BB1025">
            <v>0</v>
          </cell>
          <cell r="BH1025">
            <v>0</v>
          </cell>
          <cell r="BI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U1025">
            <v>0</v>
          </cell>
          <cell r="BV1025">
            <v>0</v>
          </cell>
          <cell r="BW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  <cell r="CN1025">
            <v>0</v>
          </cell>
          <cell r="CO1025">
            <v>0</v>
          </cell>
          <cell r="CP1025">
            <v>0</v>
          </cell>
          <cell r="CS1025">
            <v>0</v>
          </cell>
          <cell r="CU1025">
            <v>0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B1025">
            <v>0</v>
          </cell>
          <cell r="DC1025">
            <v>0</v>
          </cell>
          <cell r="DD1025">
            <v>0</v>
          </cell>
          <cell r="DE1025">
            <v>0</v>
          </cell>
          <cell r="DF1025">
            <v>0</v>
          </cell>
          <cell r="DG1025">
            <v>0</v>
          </cell>
          <cell r="DH1025">
            <v>0</v>
          </cell>
          <cell r="DL1025">
            <v>0</v>
          </cell>
          <cell r="DM1025">
            <v>0</v>
          </cell>
          <cell r="DO1025">
            <v>0</v>
          </cell>
          <cell r="DQ1025">
            <v>0</v>
          </cell>
          <cell r="DW1025">
            <v>0</v>
          </cell>
          <cell r="DX1025">
            <v>0</v>
          </cell>
          <cell r="DY1025">
            <v>0</v>
          </cell>
          <cell r="DZ1025">
            <v>0</v>
          </cell>
          <cell r="EA1025">
            <v>0</v>
          </cell>
          <cell r="EB1025">
            <v>0</v>
          </cell>
          <cell r="EC1025">
            <v>0</v>
          </cell>
        </row>
        <row r="1026"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R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BA1026">
            <v>0</v>
          </cell>
          <cell r="BB1026">
            <v>0</v>
          </cell>
          <cell r="BH1026">
            <v>0</v>
          </cell>
          <cell r="BI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U1026">
            <v>0</v>
          </cell>
          <cell r="BV1026">
            <v>0</v>
          </cell>
          <cell r="BW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  <cell r="CN1026">
            <v>0</v>
          </cell>
          <cell r="CO1026">
            <v>0</v>
          </cell>
          <cell r="CP1026">
            <v>0</v>
          </cell>
          <cell r="CS1026">
            <v>0</v>
          </cell>
          <cell r="CU1026">
            <v>0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B1026">
            <v>0</v>
          </cell>
          <cell r="DC1026">
            <v>0</v>
          </cell>
          <cell r="DD1026">
            <v>0</v>
          </cell>
          <cell r="DE1026">
            <v>0</v>
          </cell>
          <cell r="DF1026">
            <v>0</v>
          </cell>
          <cell r="DG1026">
            <v>0</v>
          </cell>
          <cell r="DH1026">
            <v>0</v>
          </cell>
          <cell r="DL1026">
            <v>0</v>
          </cell>
          <cell r="DM1026">
            <v>0</v>
          </cell>
          <cell r="DO1026">
            <v>0</v>
          </cell>
          <cell r="DQ1026">
            <v>0</v>
          </cell>
          <cell r="DW1026">
            <v>2</v>
          </cell>
          <cell r="DX1026">
            <v>0</v>
          </cell>
          <cell r="DY1026">
            <v>0</v>
          </cell>
          <cell r="DZ1026">
            <v>0</v>
          </cell>
          <cell r="EA1026">
            <v>0</v>
          </cell>
          <cell r="EB1026">
            <v>0</v>
          </cell>
          <cell r="EC1026">
            <v>0</v>
          </cell>
        </row>
        <row r="1027"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R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BA1027">
            <v>0</v>
          </cell>
          <cell r="BB1027">
            <v>0</v>
          </cell>
          <cell r="BH1027">
            <v>0</v>
          </cell>
          <cell r="BI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U1027">
            <v>0</v>
          </cell>
          <cell r="BV1027">
            <v>0</v>
          </cell>
          <cell r="BW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  <cell r="CN1027">
            <v>0</v>
          </cell>
          <cell r="CO1027">
            <v>0</v>
          </cell>
          <cell r="CP1027">
            <v>0</v>
          </cell>
          <cell r="CS1027">
            <v>0</v>
          </cell>
          <cell r="CU1027">
            <v>0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B1027">
            <v>0</v>
          </cell>
          <cell r="DC1027">
            <v>0</v>
          </cell>
          <cell r="DD1027">
            <v>0</v>
          </cell>
          <cell r="DE1027">
            <v>0</v>
          </cell>
          <cell r="DF1027">
            <v>0</v>
          </cell>
          <cell r="DG1027">
            <v>0</v>
          </cell>
          <cell r="DH1027">
            <v>0</v>
          </cell>
          <cell r="DL1027">
            <v>0</v>
          </cell>
          <cell r="DM1027">
            <v>0</v>
          </cell>
          <cell r="DO1027">
            <v>0</v>
          </cell>
          <cell r="DQ1027">
            <v>0</v>
          </cell>
          <cell r="DW1027">
            <v>0</v>
          </cell>
          <cell r="DX1027">
            <v>0</v>
          </cell>
          <cell r="DY1027">
            <v>0</v>
          </cell>
          <cell r="DZ1027">
            <v>0</v>
          </cell>
          <cell r="EA1027">
            <v>0</v>
          </cell>
          <cell r="EB1027">
            <v>0</v>
          </cell>
          <cell r="EC1027">
            <v>0</v>
          </cell>
        </row>
        <row r="1028"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R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BA1028">
            <v>0</v>
          </cell>
          <cell r="BB1028">
            <v>0</v>
          </cell>
          <cell r="BH1028">
            <v>0</v>
          </cell>
          <cell r="BI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  <cell r="BU1028">
            <v>0</v>
          </cell>
          <cell r="BV1028">
            <v>0</v>
          </cell>
          <cell r="BW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H1028">
            <v>0</v>
          </cell>
          <cell r="CI1028">
            <v>0</v>
          </cell>
          <cell r="CJ1028">
            <v>0</v>
          </cell>
          <cell r="CK1028">
            <v>0</v>
          </cell>
          <cell r="CN1028">
            <v>0</v>
          </cell>
          <cell r="CO1028">
            <v>0</v>
          </cell>
          <cell r="CP1028">
            <v>0</v>
          </cell>
          <cell r="CS1028">
            <v>0</v>
          </cell>
          <cell r="CU1028">
            <v>0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B1028">
            <v>0</v>
          </cell>
          <cell r="DC1028">
            <v>0</v>
          </cell>
          <cell r="DD1028">
            <v>0</v>
          </cell>
          <cell r="DE1028">
            <v>0</v>
          </cell>
          <cell r="DF1028">
            <v>0</v>
          </cell>
          <cell r="DG1028">
            <v>0</v>
          </cell>
          <cell r="DH1028">
            <v>0</v>
          </cell>
          <cell r="DL1028">
            <v>0</v>
          </cell>
          <cell r="DM1028">
            <v>0</v>
          </cell>
          <cell r="DO1028">
            <v>0</v>
          </cell>
          <cell r="DQ1028">
            <v>0</v>
          </cell>
          <cell r="DW1028">
            <v>0</v>
          </cell>
          <cell r="DX1028">
            <v>0</v>
          </cell>
          <cell r="DY1028">
            <v>0</v>
          </cell>
          <cell r="DZ1028">
            <v>0</v>
          </cell>
          <cell r="EA1028">
            <v>0</v>
          </cell>
          <cell r="EB1028">
            <v>0</v>
          </cell>
          <cell r="EC1028">
            <v>0</v>
          </cell>
        </row>
        <row r="1029"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R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BA1029">
            <v>0</v>
          </cell>
          <cell r="BB1029">
            <v>0</v>
          </cell>
          <cell r="BH1029">
            <v>0</v>
          </cell>
          <cell r="BI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U1029">
            <v>0</v>
          </cell>
          <cell r="BV1029">
            <v>0</v>
          </cell>
          <cell r="BW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H1029">
            <v>0</v>
          </cell>
          <cell r="CI1029">
            <v>0</v>
          </cell>
          <cell r="CJ1029">
            <v>0</v>
          </cell>
          <cell r="CK1029">
            <v>0</v>
          </cell>
          <cell r="CN1029">
            <v>0</v>
          </cell>
          <cell r="CO1029">
            <v>0</v>
          </cell>
          <cell r="CP1029">
            <v>0</v>
          </cell>
          <cell r="CS1029">
            <v>0</v>
          </cell>
          <cell r="CU1029">
            <v>0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B1029">
            <v>0</v>
          </cell>
          <cell r="DC1029">
            <v>0</v>
          </cell>
          <cell r="DD1029">
            <v>0</v>
          </cell>
          <cell r="DE1029">
            <v>0</v>
          </cell>
          <cell r="DF1029">
            <v>0</v>
          </cell>
          <cell r="DG1029">
            <v>0</v>
          </cell>
          <cell r="DH1029">
            <v>0</v>
          </cell>
          <cell r="DL1029">
            <v>0</v>
          </cell>
          <cell r="DM1029">
            <v>0</v>
          </cell>
          <cell r="DO1029">
            <v>0</v>
          </cell>
          <cell r="DQ1029">
            <v>0</v>
          </cell>
          <cell r="DW1029">
            <v>1</v>
          </cell>
          <cell r="DX1029">
            <v>0</v>
          </cell>
          <cell r="DY1029">
            <v>0</v>
          </cell>
          <cell r="DZ1029">
            <v>0</v>
          </cell>
          <cell r="EA1029">
            <v>0</v>
          </cell>
          <cell r="EB1029">
            <v>0</v>
          </cell>
          <cell r="EC1029">
            <v>0</v>
          </cell>
        </row>
        <row r="1030"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R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BA1030">
            <v>0</v>
          </cell>
          <cell r="BB1030">
            <v>0</v>
          </cell>
          <cell r="BH1030">
            <v>0</v>
          </cell>
          <cell r="BI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U1030">
            <v>0</v>
          </cell>
          <cell r="BV1030">
            <v>0</v>
          </cell>
          <cell r="BW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H1030">
            <v>0</v>
          </cell>
          <cell r="CI1030">
            <v>0</v>
          </cell>
          <cell r="CJ1030">
            <v>0</v>
          </cell>
          <cell r="CK1030">
            <v>0</v>
          </cell>
          <cell r="CN1030">
            <v>0</v>
          </cell>
          <cell r="CO1030">
            <v>0</v>
          </cell>
          <cell r="CP1030">
            <v>0</v>
          </cell>
          <cell r="CS1030">
            <v>0</v>
          </cell>
          <cell r="CU1030">
            <v>0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B1030">
            <v>0</v>
          </cell>
          <cell r="DC1030">
            <v>0</v>
          </cell>
          <cell r="DD1030">
            <v>0</v>
          </cell>
          <cell r="DE1030">
            <v>0</v>
          </cell>
          <cell r="DF1030">
            <v>0</v>
          </cell>
          <cell r="DG1030">
            <v>0</v>
          </cell>
          <cell r="DH1030">
            <v>0</v>
          </cell>
          <cell r="DL1030">
            <v>0</v>
          </cell>
          <cell r="DM1030">
            <v>0</v>
          </cell>
          <cell r="DO1030">
            <v>0</v>
          </cell>
          <cell r="DQ1030">
            <v>0</v>
          </cell>
          <cell r="DW1030">
            <v>1</v>
          </cell>
          <cell r="DX1030">
            <v>0</v>
          </cell>
          <cell r="DY1030">
            <v>0</v>
          </cell>
          <cell r="DZ1030">
            <v>0</v>
          </cell>
          <cell r="EA1030">
            <v>0</v>
          </cell>
          <cell r="EB1030">
            <v>0</v>
          </cell>
          <cell r="EC1030">
            <v>0</v>
          </cell>
        </row>
        <row r="1031"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R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BA1031">
            <v>0</v>
          </cell>
          <cell r="BB1031">
            <v>0</v>
          </cell>
          <cell r="BH1031">
            <v>0</v>
          </cell>
          <cell r="BI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</v>
          </cell>
          <cell r="BR1031">
            <v>0</v>
          </cell>
          <cell r="BS1031">
            <v>0</v>
          </cell>
          <cell r="BU1031">
            <v>0</v>
          </cell>
          <cell r="BV1031">
            <v>0</v>
          </cell>
          <cell r="BW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H1031">
            <v>0</v>
          </cell>
          <cell r="CI1031">
            <v>0</v>
          </cell>
          <cell r="CJ1031">
            <v>0</v>
          </cell>
          <cell r="CK1031">
            <v>0</v>
          </cell>
          <cell r="CN1031">
            <v>0</v>
          </cell>
          <cell r="CO1031">
            <v>0</v>
          </cell>
          <cell r="CP1031">
            <v>0</v>
          </cell>
          <cell r="CS1031">
            <v>0</v>
          </cell>
          <cell r="CU1031">
            <v>0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B1031">
            <v>0</v>
          </cell>
          <cell r="DC1031">
            <v>0</v>
          </cell>
          <cell r="DD1031">
            <v>0</v>
          </cell>
          <cell r="DE1031">
            <v>0</v>
          </cell>
          <cell r="DF1031">
            <v>0</v>
          </cell>
          <cell r="DG1031">
            <v>0</v>
          </cell>
          <cell r="DH1031">
            <v>0</v>
          </cell>
          <cell r="DL1031">
            <v>0</v>
          </cell>
          <cell r="DM1031">
            <v>0</v>
          </cell>
          <cell r="DO1031">
            <v>0</v>
          </cell>
          <cell r="DQ1031">
            <v>0</v>
          </cell>
          <cell r="DW1031">
            <v>1</v>
          </cell>
          <cell r="DX1031">
            <v>0</v>
          </cell>
          <cell r="DY1031">
            <v>0</v>
          </cell>
          <cell r="DZ1031">
            <v>0</v>
          </cell>
          <cell r="EA1031">
            <v>0</v>
          </cell>
          <cell r="EB1031">
            <v>0</v>
          </cell>
          <cell r="EC1031">
            <v>0</v>
          </cell>
        </row>
        <row r="1032"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R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BA1032">
            <v>0</v>
          </cell>
          <cell r="BB1032">
            <v>0</v>
          </cell>
          <cell r="BH1032">
            <v>0</v>
          </cell>
          <cell r="BI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</v>
          </cell>
          <cell r="BR1032">
            <v>0</v>
          </cell>
          <cell r="BS1032">
            <v>0</v>
          </cell>
          <cell r="BU1032">
            <v>0</v>
          </cell>
          <cell r="BV1032">
            <v>0</v>
          </cell>
          <cell r="BW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H1032">
            <v>0</v>
          </cell>
          <cell r="CI1032">
            <v>0</v>
          </cell>
          <cell r="CJ1032">
            <v>0</v>
          </cell>
          <cell r="CK1032">
            <v>0</v>
          </cell>
          <cell r="CN1032">
            <v>0</v>
          </cell>
          <cell r="CO1032">
            <v>0</v>
          </cell>
          <cell r="CP1032">
            <v>0</v>
          </cell>
          <cell r="CS1032">
            <v>0</v>
          </cell>
          <cell r="CU1032">
            <v>0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B1032">
            <v>0</v>
          </cell>
          <cell r="DC1032">
            <v>0</v>
          </cell>
          <cell r="DD1032">
            <v>0</v>
          </cell>
          <cell r="DE1032">
            <v>0</v>
          </cell>
          <cell r="DF1032">
            <v>0</v>
          </cell>
          <cell r="DG1032">
            <v>0</v>
          </cell>
          <cell r="DH1032">
            <v>0</v>
          </cell>
          <cell r="DL1032">
            <v>0</v>
          </cell>
          <cell r="DM1032">
            <v>0</v>
          </cell>
          <cell r="DO1032">
            <v>0</v>
          </cell>
          <cell r="DQ1032">
            <v>0</v>
          </cell>
          <cell r="DW1032">
            <v>1</v>
          </cell>
          <cell r="DX1032">
            <v>0</v>
          </cell>
          <cell r="DY1032">
            <v>0</v>
          </cell>
          <cell r="DZ1032">
            <v>0</v>
          </cell>
          <cell r="EA1032">
            <v>0</v>
          </cell>
          <cell r="EB1032">
            <v>0</v>
          </cell>
          <cell r="EC1032">
            <v>0</v>
          </cell>
        </row>
        <row r="1033"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R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BA1033">
            <v>0</v>
          </cell>
          <cell r="BB1033">
            <v>0</v>
          </cell>
          <cell r="BH1033">
            <v>0</v>
          </cell>
          <cell r="BI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</v>
          </cell>
          <cell r="BR1033">
            <v>0</v>
          </cell>
          <cell r="BS1033">
            <v>0</v>
          </cell>
          <cell r="BU1033">
            <v>0</v>
          </cell>
          <cell r="BV1033">
            <v>0</v>
          </cell>
          <cell r="BW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H1033">
            <v>0</v>
          </cell>
          <cell r="CI1033">
            <v>0</v>
          </cell>
          <cell r="CJ1033">
            <v>0</v>
          </cell>
          <cell r="CK1033">
            <v>0</v>
          </cell>
          <cell r="CN1033">
            <v>0</v>
          </cell>
          <cell r="CO1033">
            <v>0</v>
          </cell>
          <cell r="CP1033">
            <v>0</v>
          </cell>
          <cell r="CS1033">
            <v>0</v>
          </cell>
          <cell r="CU1033">
            <v>0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B1033">
            <v>0</v>
          </cell>
          <cell r="DC1033">
            <v>0</v>
          </cell>
          <cell r="DD1033">
            <v>0</v>
          </cell>
          <cell r="DE1033">
            <v>0</v>
          </cell>
          <cell r="DF1033">
            <v>0</v>
          </cell>
          <cell r="DG1033">
            <v>0</v>
          </cell>
          <cell r="DH1033">
            <v>0</v>
          </cell>
          <cell r="DL1033">
            <v>0</v>
          </cell>
          <cell r="DM1033">
            <v>0</v>
          </cell>
          <cell r="DO1033">
            <v>0</v>
          </cell>
          <cell r="DQ1033">
            <v>0</v>
          </cell>
          <cell r="DW1033">
            <v>1</v>
          </cell>
          <cell r="DX1033">
            <v>0</v>
          </cell>
          <cell r="DY1033">
            <v>0</v>
          </cell>
          <cell r="DZ1033">
            <v>0</v>
          </cell>
          <cell r="EA1033">
            <v>0</v>
          </cell>
          <cell r="EB1033">
            <v>0</v>
          </cell>
          <cell r="EC1033">
            <v>0</v>
          </cell>
        </row>
        <row r="1034"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R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BA1034">
            <v>0</v>
          </cell>
          <cell r="BB1034">
            <v>0</v>
          </cell>
          <cell r="BH1034">
            <v>0</v>
          </cell>
          <cell r="BI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0</v>
          </cell>
          <cell r="BR1034">
            <v>0</v>
          </cell>
          <cell r="BS1034">
            <v>0</v>
          </cell>
          <cell r="BU1034">
            <v>0</v>
          </cell>
          <cell r="BV1034">
            <v>0</v>
          </cell>
          <cell r="BW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H1034">
            <v>0</v>
          </cell>
          <cell r="CI1034">
            <v>0</v>
          </cell>
          <cell r="CJ1034">
            <v>0</v>
          </cell>
          <cell r="CK1034">
            <v>0</v>
          </cell>
          <cell r="CN1034">
            <v>0</v>
          </cell>
          <cell r="CO1034">
            <v>0</v>
          </cell>
          <cell r="CP1034">
            <v>0</v>
          </cell>
          <cell r="CS1034">
            <v>0</v>
          </cell>
          <cell r="CU1034">
            <v>0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B1034">
            <v>0</v>
          </cell>
          <cell r="DC1034">
            <v>0</v>
          </cell>
          <cell r="DD1034">
            <v>0</v>
          </cell>
          <cell r="DE1034">
            <v>0</v>
          </cell>
          <cell r="DF1034">
            <v>0</v>
          </cell>
          <cell r="DG1034">
            <v>0</v>
          </cell>
          <cell r="DH1034">
            <v>0</v>
          </cell>
          <cell r="DL1034">
            <v>0</v>
          </cell>
          <cell r="DM1034">
            <v>0</v>
          </cell>
          <cell r="DO1034">
            <v>0</v>
          </cell>
          <cell r="DQ1034">
            <v>0</v>
          </cell>
          <cell r="DW1034">
            <v>1</v>
          </cell>
          <cell r="DX1034">
            <v>0</v>
          </cell>
          <cell r="DY1034">
            <v>0</v>
          </cell>
          <cell r="DZ1034">
            <v>0</v>
          </cell>
          <cell r="EA1034">
            <v>0</v>
          </cell>
          <cell r="EB1034">
            <v>0</v>
          </cell>
          <cell r="EC1034">
            <v>0</v>
          </cell>
        </row>
        <row r="1035"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R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BA1035">
            <v>0</v>
          </cell>
          <cell r="BB1035">
            <v>0</v>
          </cell>
          <cell r="BH1035">
            <v>0</v>
          </cell>
          <cell r="BI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0</v>
          </cell>
          <cell r="BS1035">
            <v>0</v>
          </cell>
          <cell r="BU1035">
            <v>0</v>
          </cell>
          <cell r="BV1035">
            <v>0</v>
          </cell>
          <cell r="BW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H1035">
            <v>0</v>
          </cell>
          <cell r="CI1035">
            <v>0</v>
          </cell>
          <cell r="CJ1035">
            <v>0</v>
          </cell>
          <cell r="CK1035">
            <v>0</v>
          </cell>
          <cell r="CN1035">
            <v>0</v>
          </cell>
          <cell r="CO1035">
            <v>0</v>
          </cell>
          <cell r="CP1035">
            <v>0</v>
          </cell>
          <cell r="CS1035">
            <v>0</v>
          </cell>
          <cell r="CU1035">
            <v>0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B1035">
            <v>0</v>
          </cell>
          <cell r="DC1035">
            <v>0</v>
          </cell>
          <cell r="DD1035">
            <v>0</v>
          </cell>
          <cell r="DE1035">
            <v>0</v>
          </cell>
          <cell r="DF1035">
            <v>0</v>
          </cell>
          <cell r="DG1035">
            <v>0</v>
          </cell>
          <cell r="DH1035">
            <v>0</v>
          </cell>
          <cell r="DL1035">
            <v>0</v>
          </cell>
          <cell r="DM1035">
            <v>0</v>
          </cell>
          <cell r="DO1035">
            <v>0</v>
          </cell>
          <cell r="DQ1035">
            <v>0</v>
          </cell>
          <cell r="DW1035">
            <v>1</v>
          </cell>
          <cell r="DX1035">
            <v>0</v>
          </cell>
          <cell r="DY1035">
            <v>0</v>
          </cell>
          <cell r="DZ1035">
            <v>0</v>
          </cell>
          <cell r="EA1035">
            <v>0</v>
          </cell>
          <cell r="EB1035">
            <v>0</v>
          </cell>
          <cell r="EC1035">
            <v>0</v>
          </cell>
        </row>
        <row r="1036"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R1036">
            <v>0</v>
          </cell>
          <cell r="V1036">
            <v>0</v>
          </cell>
          <cell r="W1036">
            <v>3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BA1036">
            <v>0</v>
          </cell>
          <cell r="BB1036">
            <v>0</v>
          </cell>
          <cell r="BH1036">
            <v>0</v>
          </cell>
          <cell r="BI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U1036">
            <v>0</v>
          </cell>
          <cell r="BV1036">
            <v>0</v>
          </cell>
          <cell r="BW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H1036">
            <v>0</v>
          </cell>
          <cell r="CI1036">
            <v>0</v>
          </cell>
          <cell r="CJ1036">
            <v>0</v>
          </cell>
          <cell r="CK1036">
            <v>0</v>
          </cell>
          <cell r="CN1036">
            <v>0</v>
          </cell>
          <cell r="CO1036">
            <v>0</v>
          </cell>
          <cell r="CP1036">
            <v>0</v>
          </cell>
          <cell r="CS1036">
            <v>0</v>
          </cell>
          <cell r="CU1036">
            <v>0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B1036">
            <v>0</v>
          </cell>
          <cell r="DC1036">
            <v>0</v>
          </cell>
          <cell r="DD1036">
            <v>0</v>
          </cell>
          <cell r="DE1036">
            <v>0</v>
          </cell>
          <cell r="DF1036">
            <v>3</v>
          </cell>
          <cell r="DG1036">
            <v>0</v>
          </cell>
          <cell r="DH1036">
            <v>0</v>
          </cell>
          <cell r="DL1036">
            <v>0</v>
          </cell>
          <cell r="DM1036">
            <v>0</v>
          </cell>
          <cell r="DO1036">
            <v>0</v>
          </cell>
          <cell r="DQ1036">
            <v>0</v>
          </cell>
          <cell r="DW1036">
            <v>0</v>
          </cell>
          <cell r="DX1036">
            <v>0</v>
          </cell>
          <cell r="DY1036">
            <v>3</v>
          </cell>
          <cell r="DZ1036">
            <v>0</v>
          </cell>
          <cell r="EA1036">
            <v>0</v>
          </cell>
          <cell r="EB1036">
            <v>0</v>
          </cell>
          <cell r="EC1036">
            <v>2</v>
          </cell>
        </row>
        <row r="1037">
          <cell r="D1037">
            <v>0</v>
          </cell>
          <cell r="E1037">
            <v>1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R1037">
            <v>0</v>
          </cell>
          <cell r="V1037">
            <v>0</v>
          </cell>
          <cell r="W1037">
            <v>0</v>
          </cell>
          <cell r="X1037">
            <v>1</v>
          </cell>
          <cell r="Y1037">
            <v>1</v>
          </cell>
          <cell r="Z1037">
            <v>0</v>
          </cell>
          <cell r="AA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1</v>
          </cell>
          <cell r="AL1037">
            <v>1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U1037">
            <v>0</v>
          </cell>
          <cell r="AV1037">
            <v>1</v>
          </cell>
          <cell r="AW1037">
            <v>0</v>
          </cell>
          <cell r="AX1037">
            <v>0</v>
          </cell>
          <cell r="AY1037">
            <v>0</v>
          </cell>
          <cell r="BA1037">
            <v>0</v>
          </cell>
          <cell r="BB1037">
            <v>0</v>
          </cell>
          <cell r="BH1037">
            <v>0</v>
          </cell>
          <cell r="BI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0</v>
          </cell>
          <cell r="BS1037">
            <v>0</v>
          </cell>
          <cell r="BU1037">
            <v>0</v>
          </cell>
          <cell r="BV1037">
            <v>0</v>
          </cell>
          <cell r="BW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H1037">
            <v>0</v>
          </cell>
          <cell r="CI1037">
            <v>0</v>
          </cell>
          <cell r="CJ1037">
            <v>0</v>
          </cell>
          <cell r="CK1037">
            <v>0</v>
          </cell>
          <cell r="CN1037">
            <v>0</v>
          </cell>
          <cell r="CO1037">
            <v>0</v>
          </cell>
          <cell r="CP1037">
            <v>0</v>
          </cell>
          <cell r="CS1037">
            <v>0</v>
          </cell>
          <cell r="CU1037">
            <v>0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B1037">
            <v>0</v>
          </cell>
          <cell r="DC1037">
            <v>0</v>
          </cell>
          <cell r="DD1037">
            <v>0</v>
          </cell>
          <cell r="DE1037">
            <v>0</v>
          </cell>
          <cell r="DF1037">
            <v>0</v>
          </cell>
          <cell r="DG1037">
            <v>0</v>
          </cell>
          <cell r="DH1037">
            <v>0</v>
          </cell>
          <cell r="DL1037">
            <v>0</v>
          </cell>
          <cell r="DM1037">
            <v>0</v>
          </cell>
          <cell r="DO1037">
            <v>0</v>
          </cell>
          <cell r="DQ1037">
            <v>0</v>
          </cell>
          <cell r="DW1037">
            <v>0</v>
          </cell>
          <cell r="DX1037">
            <v>0</v>
          </cell>
          <cell r="DY1037">
            <v>0</v>
          </cell>
          <cell r="DZ1037">
            <v>0</v>
          </cell>
          <cell r="EA1037">
            <v>0</v>
          </cell>
          <cell r="EB1037">
            <v>0</v>
          </cell>
          <cell r="EC1037">
            <v>0</v>
          </cell>
        </row>
        <row r="1038"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R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BA1038">
            <v>0</v>
          </cell>
          <cell r="BB1038">
            <v>0</v>
          </cell>
          <cell r="BH1038">
            <v>0</v>
          </cell>
          <cell r="BI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U1038">
            <v>0</v>
          </cell>
          <cell r="BV1038">
            <v>0</v>
          </cell>
          <cell r="BW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H1038">
            <v>0</v>
          </cell>
          <cell r="CI1038">
            <v>0</v>
          </cell>
          <cell r="CJ1038">
            <v>0</v>
          </cell>
          <cell r="CK1038">
            <v>0</v>
          </cell>
          <cell r="CN1038">
            <v>0</v>
          </cell>
          <cell r="CO1038">
            <v>0</v>
          </cell>
          <cell r="CP1038">
            <v>0</v>
          </cell>
          <cell r="CS1038">
            <v>0</v>
          </cell>
          <cell r="CU1038">
            <v>0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B1038">
            <v>0</v>
          </cell>
          <cell r="DC1038">
            <v>0</v>
          </cell>
          <cell r="DD1038">
            <v>0</v>
          </cell>
          <cell r="DE1038">
            <v>0</v>
          </cell>
          <cell r="DF1038">
            <v>0</v>
          </cell>
          <cell r="DG1038">
            <v>0</v>
          </cell>
          <cell r="DH1038">
            <v>0</v>
          </cell>
          <cell r="DL1038">
            <v>0</v>
          </cell>
          <cell r="DM1038">
            <v>0</v>
          </cell>
          <cell r="DO1038">
            <v>0</v>
          </cell>
          <cell r="DQ1038">
            <v>0</v>
          </cell>
          <cell r="DW1038">
            <v>0</v>
          </cell>
          <cell r="DX1038">
            <v>0</v>
          </cell>
          <cell r="DY1038">
            <v>1</v>
          </cell>
          <cell r="DZ1038">
            <v>0</v>
          </cell>
          <cell r="EA1038">
            <v>0</v>
          </cell>
          <cell r="EB1038">
            <v>0</v>
          </cell>
          <cell r="EC1038">
            <v>0</v>
          </cell>
        </row>
        <row r="1039"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R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1</v>
          </cell>
          <cell r="AJ1039">
            <v>0</v>
          </cell>
          <cell r="AK1039">
            <v>0</v>
          </cell>
          <cell r="AL1039">
            <v>0</v>
          </cell>
          <cell r="AN1039">
            <v>0</v>
          </cell>
          <cell r="AO1039">
            <v>0</v>
          </cell>
          <cell r="AP1039">
            <v>10</v>
          </cell>
          <cell r="AQ1039">
            <v>0</v>
          </cell>
          <cell r="AR1039">
            <v>0</v>
          </cell>
          <cell r="AS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BA1039">
            <v>0</v>
          </cell>
          <cell r="BB1039">
            <v>0</v>
          </cell>
          <cell r="BH1039">
            <v>0</v>
          </cell>
          <cell r="BI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4</v>
          </cell>
          <cell r="BQ1039">
            <v>0</v>
          </cell>
          <cell r="BR1039">
            <v>0</v>
          </cell>
          <cell r="BS1039">
            <v>0</v>
          </cell>
          <cell r="BU1039">
            <v>0</v>
          </cell>
          <cell r="BV1039">
            <v>0</v>
          </cell>
          <cell r="BW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H1039">
            <v>0</v>
          </cell>
          <cell r="CI1039">
            <v>0</v>
          </cell>
          <cell r="CJ1039">
            <v>0</v>
          </cell>
          <cell r="CK1039">
            <v>0</v>
          </cell>
          <cell r="CN1039">
            <v>0</v>
          </cell>
          <cell r="CO1039">
            <v>0</v>
          </cell>
          <cell r="CP1039">
            <v>0</v>
          </cell>
          <cell r="CS1039">
            <v>0</v>
          </cell>
          <cell r="CU1039">
            <v>0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B1039">
            <v>0</v>
          </cell>
          <cell r="DC1039">
            <v>0</v>
          </cell>
          <cell r="DD1039">
            <v>0</v>
          </cell>
          <cell r="DE1039">
            <v>0</v>
          </cell>
          <cell r="DF1039">
            <v>0</v>
          </cell>
          <cell r="DG1039">
            <v>0</v>
          </cell>
          <cell r="DH1039">
            <v>0</v>
          </cell>
          <cell r="DL1039">
            <v>0</v>
          </cell>
          <cell r="DM1039">
            <v>0</v>
          </cell>
          <cell r="DO1039">
            <v>0</v>
          </cell>
          <cell r="DQ1039">
            <v>0</v>
          </cell>
          <cell r="DW1039">
            <v>0</v>
          </cell>
          <cell r="DX1039">
            <v>0</v>
          </cell>
          <cell r="DY1039">
            <v>0</v>
          </cell>
          <cell r="DZ1039">
            <v>0</v>
          </cell>
          <cell r="EA1039">
            <v>0</v>
          </cell>
          <cell r="EB1039">
            <v>0</v>
          </cell>
          <cell r="EC1039">
            <v>0</v>
          </cell>
        </row>
        <row r="1040"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R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E1040">
            <v>1</v>
          </cell>
          <cell r="AF1040">
            <v>1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BA1040">
            <v>0</v>
          </cell>
          <cell r="BB1040">
            <v>0</v>
          </cell>
          <cell r="BH1040">
            <v>0</v>
          </cell>
          <cell r="BI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U1040">
            <v>0</v>
          </cell>
          <cell r="BV1040">
            <v>0</v>
          </cell>
          <cell r="BW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  <cell r="CN1040">
            <v>0</v>
          </cell>
          <cell r="CO1040">
            <v>0</v>
          </cell>
          <cell r="CP1040">
            <v>0</v>
          </cell>
          <cell r="CS1040">
            <v>0</v>
          </cell>
          <cell r="CU1040">
            <v>0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B1040">
            <v>0</v>
          </cell>
          <cell r="DC1040">
            <v>0</v>
          </cell>
          <cell r="DD1040">
            <v>0</v>
          </cell>
          <cell r="DE1040">
            <v>0</v>
          </cell>
          <cell r="DF1040">
            <v>0</v>
          </cell>
          <cell r="DG1040">
            <v>0</v>
          </cell>
          <cell r="DH1040">
            <v>0</v>
          </cell>
          <cell r="DL1040">
            <v>0</v>
          </cell>
          <cell r="DM1040">
            <v>0</v>
          </cell>
          <cell r="DO1040">
            <v>0</v>
          </cell>
          <cell r="DQ1040">
            <v>0</v>
          </cell>
          <cell r="DW1040">
            <v>0</v>
          </cell>
          <cell r="DX1040">
            <v>0</v>
          </cell>
          <cell r="DY1040">
            <v>0</v>
          </cell>
          <cell r="DZ1040">
            <v>0</v>
          </cell>
          <cell r="EA1040">
            <v>0</v>
          </cell>
          <cell r="EB1040">
            <v>0</v>
          </cell>
          <cell r="EC1040">
            <v>0</v>
          </cell>
        </row>
        <row r="1041"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R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6</v>
          </cell>
          <cell r="AY1041">
            <v>0</v>
          </cell>
          <cell r="BA1041">
            <v>0</v>
          </cell>
          <cell r="BB1041">
            <v>0</v>
          </cell>
          <cell r="BH1041">
            <v>0</v>
          </cell>
          <cell r="BI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U1041">
            <v>0</v>
          </cell>
          <cell r="BV1041">
            <v>0</v>
          </cell>
          <cell r="BW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0</v>
          </cell>
          <cell r="CD1041">
            <v>0</v>
          </cell>
          <cell r="CE1041">
            <v>0</v>
          </cell>
          <cell r="CH1041">
            <v>0</v>
          </cell>
          <cell r="CI1041">
            <v>0</v>
          </cell>
          <cell r="CJ1041">
            <v>0</v>
          </cell>
          <cell r="CK1041">
            <v>0</v>
          </cell>
          <cell r="CN1041">
            <v>0</v>
          </cell>
          <cell r="CO1041">
            <v>0</v>
          </cell>
          <cell r="CP1041">
            <v>0</v>
          </cell>
          <cell r="CS1041">
            <v>0</v>
          </cell>
          <cell r="CU1041">
            <v>0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B1041">
            <v>0</v>
          </cell>
          <cell r="DC1041">
            <v>0</v>
          </cell>
          <cell r="DD1041">
            <v>0</v>
          </cell>
          <cell r="DE1041">
            <v>0</v>
          </cell>
          <cell r="DF1041">
            <v>0</v>
          </cell>
          <cell r="DG1041">
            <v>0</v>
          </cell>
          <cell r="DH1041">
            <v>0</v>
          </cell>
          <cell r="DL1041">
            <v>0</v>
          </cell>
          <cell r="DM1041">
            <v>0</v>
          </cell>
          <cell r="DO1041">
            <v>0</v>
          </cell>
          <cell r="DQ1041">
            <v>0</v>
          </cell>
          <cell r="DW1041">
            <v>0</v>
          </cell>
          <cell r="DX1041">
            <v>0</v>
          </cell>
          <cell r="DY1041">
            <v>0</v>
          </cell>
          <cell r="DZ1041">
            <v>0</v>
          </cell>
          <cell r="EA1041">
            <v>0</v>
          </cell>
          <cell r="EB1041">
            <v>0</v>
          </cell>
          <cell r="EC1041">
            <v>0</v>
          </cell>
        </row>
        <row r="1042"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R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N1042">
            <v>0</v>
          </cell>
          <cell r="AO1042">
            <v>0</v>
          </cell>
          <cell r="AP1042">
            <v>8</v>
          </cell>
          <cell r="AQ1042">
            <v>0</v>
          </cell>
          <cell r="AR1042">
            <v>0</v>
          </cell>
          <cell r="AS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BA1042">
            <v>0</v>
          </cell>
          <cell r="BB1042">
            <v>0</v>
          </cell>
          <cell r="BH1042">
            <v>0</v>
          </cell>
          <cell r="BI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4</v>
          </cell>
          <cell r="BQ1042">
            <v>0</v>
          </cell>
          <cell r="BR1042">
            <v>0</v>
          </cell>
          <cell r="BS1042">
            <v>0</v>
          </cell>
          <cell r="BU1042">
            <v>0</v>
          </cell>
          <cell r="BV1042">
            <v>0</v>
          </cell>
          <cell r="BW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0</v>
          </cell>
          <cell r="CD1042">
            <v>0</v>
          </cell>
          <cell r="CE1042">
            <v>0</v>
          </cell>
          <cell r="CH1042">
            <v>0</v>
          </cell>
          <cell r="CI1042">
            <v>0</v>
          </cell>
          <cell r="CJ1042">
            <v>0</v>
          </cell>
          <cell r="CK1042">
            <v>0</v>
          </cell>
          <cell r="CN1042">
            <v>0</v>
          </cell>
          <cell r="CO1042">
            <v>0</v>
          </cell>
          <cell r="CP1042">
            <v>0</v>
          </cell>
          <cell r="CS1042">
            <v>0</v>
          </cell>
          <cell r="CU1042">
            <v>0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B1042">
            <v>0</v>
          </cell>
          <cell r="DC1042">
            <v>0</v>
          </cell>
          <cell r="DD1042">
            <v>0</v>
          </cell>
          <cell r="DE1042">
            <v>0</v>
          </cell>
          <cell r="DF1042">
            <v>0</v>
          </cell>
          <cell r="DG1042">
            <v>0</v>
          </cell>
          <cell r="DH1042">
            <v>0</v>
          </cell>
          <cell r="DL1042">
            <v>0</v>
          </cell>
          <cell r="DM1042">
            <v>0</v>
          </cell>
          <cell r="DO1042">
            <v>0</v>
          </cell>
          <cell r="DQ1042">
            <v>0</v>
          </cell>
          <cell r="DW1042">
            <v>0</v>
          </cell>
          <cell r="DX1042">
            <v>0</v>
          </cell>
          <cell r="DY1042">
            <v>0</v>
          </cell>
          <cell r="DZ1042">
            <v>0</v>
          </cell>
          <cell r="EA1042">
            <v>0</v>
          </cell>
          <cell r="EB1042">
            <v>0</v>
          </cell>
          <cell r="EC1042">
            <v>0</v>
          </cell>
        </row>
        <row r="1043"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R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BA1043">
            <v>0</v>
          </cell>
          <cell r="BB1043">
            <v>0</v>
          </cell>
          <cell r="BH1043">
            <v>0</v>
          </cell>
          <cell r="BI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U1043">
            <v>0</v>
          </cell>
          <cell r="BV1043">
            <v>0</v>
          </cell>
          <cell r="BW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0</v>
          </cell>
          <cell r="CD1043">
            <v>0</v>
          </cell>
          <cell r="CE1043">
            <v>0</v>
          </cell>
          <cell r="CH1043">
            <v>0</v>
          </cell>
          <cell r="CI1043">
            <v>0</v>
          </cell>
          <cell r="CJ1043">
            <v>0</v>
          </cell>
          <cell r="CK1043">
            <v>0</v>
          </cell>
          <cell r="CN1043">
            <v>0</v>
          </cell>
          <cell r="CO1043">
            <v>0</v>
          </cell>
          <cell r="CP1043">
            <v>0</v>
          </cell>
          <cell r="CS1043">
            <v>0</v>
          </cell>
          <cell r="CU1043">
            <v>0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B1043">
            <v>0</v>
          </cell>
          <cell r="DC1043">
            <v>0</v>
          </cell>
          <cell r="DD1043">
            <v>0</v>
          </cell>
          <cell r="DE1043">
            <v>0</v>
          </cell>
          <cell r="DF1043">
            <v>0</v>
          </cell>
          <cell r="DG1043">
            <v>0</v>
          </cell>
          <cell r="DH1043">
            <v>0</v>
          </cell>
          <cell r="DL1043">
            <v>0</v>
          </cell>
          <cell r="DM1043">
            <v>0</v>
          </cell>
          <cell r="DO1043">
            <v>0</v>
          </cell>
          <cell r="DQ1043">
            <v>0</v>
          </cell>
          <cell r="DW1043">
            <v>0</v>
          </cell>
          <cell r="DX1043">
            <v>0</v>
          </cell>
          <cell r="DY1043">
            <v>0</v>
          </cell>
          <cell r="DZ1043">
            <v>0</v>
          </cell>
          <cell r="EA1043">
            <v>0</v>
          </cell>
          <cell r="EB1043">
            <v>0</v>
          </cell>
          <cell r="EC1043">
            <v>0</v>
          </cell>
        </row>
        <row r="1044"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R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BA1044">
            <v>0</v>
          </cell>
          <cell r="BB1044">
            <v>0</v>
          </cell>
          <cell r="BH1044">
            <v>0</v>
          </cell>
          <cell r="BI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U1044">
            <v>0</v>
          </cell>
          <cell r="BV1044">
            <v>0</v>
          </cell>
          <cell r="BW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0</v>
          </cell>
          <cell r="CD1044">
            <v>0</v>
          </cell>
          <cell r="CE1044">
            <v>0</v>
          </cell>
          <cell r="CH1044">
            <v>0</v>
          </cell>
          <cell r="CI1044">
            <v>0</v>
          </cell>
          <cell r="CJ1044">
            <v>0</v>
          </cell>
          <cell r="CK1044">
            <v>0</v>
          </cell>
          <cell r="CN1044">
            <v>0</v>
          </cell>
          <cell r="CO1044">
            <v>0</v>
          </cell>
          <cell r="CP1044">
            <v>0</v>
          </cell>
          <cell r="CS1044">
            <v>0</v>
          </cell>
          <cell r="CU1044">
            <v>0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B1044">
            <v>0</v>
          </cell>
          <cell r="DC1044">
            <v>0</v>
          </cell>
          <cell r="DD1044">
            <v>0</v>
          </cell>
          <cell r="DE1044">
            <v>0</v>
          </cell>
          <cell r="DF1044">
            <v>0</v>
          </cell>
          <cell r="DG1044">
            <v>0</v>
          </cell>
          <cell r="DH1044">
            <v>0</v>
          </cell>
          <cell r="DL1044">
            <v>0</v>
          </cell>
          <cell r="DM1044">
            <v>0</v>
          </cell>
          <cell r="DO1044">
            <v>0</v>
          </cell>
          <cell r="DQ1044">
            <v>0</v>
          </cell>
          <cell r="DW1044">
            <v>0</v>
          </cell>
          <cell r="DX1044">
            <v>0</v>
          </cell>
          <cell r="DY1044">
            <v>0</v>
          </cell>
          <cell r="DZ1044">
            <v>0</v>
          </cell>
          <cell r="EA1044">
            <v>0</v>
          </cell>
          <cell r="EB1044">
            <v>0</v>
          </cell>
          <cell r="EC1044">
            <v>0</v>
          </cell>
        </row>
        <row r="1045"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R1045">
            <v>0</v>
          </cell>
          <cell r="V1045">
            <v>0</v>
          </cell>
          <cell r="W1045">
            <v>2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BA1045">
            <v>0</v>
          </cell>
          <cell r="BB1045">
            <v>0</v>
          </cell>
          <cell r="BH1045">
            <v>0</v>
          </cell>
          <cell r="BI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U1045">
            <v>0</v>
          </cell>
          <cell r="BV1045">
            <v>0</v>
          </cell>
          <cell r="BW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0</v>
          </cell>
          <cell r="CD1045">
            <v>0</v>
          </cell>
          <cell r="CE1045">
            <v>0</v>
          </cell>
          <cell r="CH1045">
            <v>0</v>
          </cell>
          <cell r="CI1045">
            <v>0</v>
          </cell>
          <cell r="CJ1045">
            <v>0</v>
          </cell>
          <cell r="CK1045">
            <v>0</v>
          </cell>
          <cell r="CN1045">
            <v>0</v>
          </cell>
          <cell r="CO1045">
            <v>0</v>
          </cell>
          <cell r="CP1045">
            <v>0</v>
          </cell>
          <cell r="CS1045">
            <v>0</v>
          </cell>
          <cell r="CU1045">
            <v>0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B1045">
            <v>0</v>
          </cell>
          <cell r="DC1045">
            <v>0</v>
          </cell>
          <cell r="DD1045">
            <v>0</v>
          </cell>
          <cell r="DE1045">
            <v>0</v>
          </cell>
          <cell r="DF1045">
            <v>0</v>
          </cell>
          <cell r="DG1045">
            <v>0</v>
          </cell>
          <cell r="DH1045">
            <v>0</v>
          </cell>
          <cell r="DL1045">
            <v>0</v>
          </cell>
          <cell r="DM1045">
            <v>0</v>
          </cell>
          <cell r="DO1045">
            <v>0</v>
          </cell>
          <cell r="DQ1045">
            <v>2</v>
          </cell>
          <cell r="DW1045">
            <v>0</v>
          </cell>
          <cell r="DX1045">
            <v>0</v>
          </cell>
          <cell r="DY1045">
            <v>0</v>
          </cell>
          <cell r="DZ1045">
            <v>0</v>
          </cell>
          <cell r="EA1045">
            <v>0</v>
          </cell>
          <cell r="EB1045">
            <v>0</v>
          </cell>
          <cell r="EC1045">
            <v>0</v>
          </cell>
        </row>
        <row r="1046"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R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BA1046">
            <v>0</v>
          </cell>
          <cell r="BB1046">
            <v>0</v>
          </cell>
          <cell r="BH1046">
            <v>0</v>
          </cell>
          <cell r="BI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U1046">
            <v>0</v>
          </cell>
          <cell r="BV1046">
            <v>0</v>
          </cell>
          <cell r="BW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0</v>
          </cell>
          <cell r="CD1046">
            <v>0</v>
          </cell>
          <cell r="CE1046">
            <v>0</v>
          </cell>
          <cell r="CH1046">
            <v>0</v>
          </cell>
          <cell r="CI1046">
            <v>3</v>
          </cell>
          <cell r="CJ1046">
            <v>3</v>
          </cell>
          <cell r="CK1046">
            <v>0</v>
          </cell>
          <cell r="CN1046">
            <v>0</v>
          </cell>
          <cell r="CO1046">
            <v>0</v>
          </cell>
          <cell r="CP1046">
            <v>0</v>
          </cell>
          <cell r="CS1046">
            <v>0</v>
          </cell>
          <cell r="CU1046">
            <v>0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B1046">
            <v>0</v>
          </cell>
          <cell r="DC1046">
            <v>0</v>
          </cell>
          <cell r="DD1046">
            <v>0</v>
          </cell>
          <cell r="DE1046">
            <v>0</v>
          </cell>
          <cell r="DF1046">
            <v>0</v>
          </cell>
          <cell r="DG1046">
            <v>0</v>
          </cell>
          <cell r="DH1046">
            <v>0</v>
          </cell>
          <cell r="DL1046">
            <v>0</v>
          </cell>
          <cell r="DM1046">
            <v>0</v>
          </cell>
          <cell r="DO1046">
            <v>0</v>
          </cell>
          <cell r="DQ1046">
            <v>0</v>
          </cell>
          <cell r="DW1046">
            <v>12</v>
          </cell>
          <cell r="DX1046">
            <v>0</v>
          </cell>
          <cell r="DY1046">
            <v>0</v>
          </cell>
          <cell r="DZ1046">
            <v>0</v>
          </cell>
          <cell r="EA1046">
            <v>0</v>
          </cell>
          <cell r="EB1046">
            <v>0</v>
          </cell>
          <cell r="EC1046">
            <v>0</v>
          </cell>
        </row>
        <row r="1047"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R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BA1047">
            <v>0</v>
          </cell>
          <cell r="BB1047">
            <v>0</v>
          </cell>
          <cell r="BH1047">
            <v>0</v>
          </cell>
          <cell r="BI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U1047">
            <v>0</v>
          </cell>
          <cell r="BV1047">
            <v>0</v>
          </cell>
          <cell r="BW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0</v>
          </cell>
          <cell r="CD1047">
            <v>0</v>
          </cell>
          <cell r="CE1047">
            <v>0</v>
          </cell>
          <cell r="CH1047">
            <v>0</v>
          </cell>
          <cell r="CI1047">
            <v>0</v>
          </cell>
          <cell r="CJ1047">
            <v>0</v>
          </cell>
          <cell r="CK1047">
            <v>0</v>
          </cell>
          <cell r="CN1047">
            <v>0</v>
          </cell>
          <cell r="CO1047">
            <v>0</v>
          </cell>
          <cell r="CP1047">
            <v>0</v>
          </cell>
          <cell r="CS1047">
            <v>0</v>
          </cell>
          <cell r="CU1047">
            <v>0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B1047">
            <v>0</v>
          </cell>
          <cell r="DC1047">
            <v>0</v>
          </cell>
          <cell r="DD1047">
            <v>0</v>
          </cell>
          <cell r="DE1047">
            <v>0</v>
          </cell>
          <cell r="DF1047">
            <v>0</v>
          </cell>
          <cell r="DG1047">
            <v>0</v>
          </cell>
          <cell r="DH1047">
            <v>0</v>
          </cell>
          <cell r="DL1047">
            <v>0</v>
          </cell>
          <cell r="DM1047">
            <v>0</v>
          </cell>
          <cell r="DO1047">
            <v>0</v>
          </cell>
          <cell r="DQ1047">
            <v>0</v>
          </cell>
          <cell r="DW1047">
            <v>1</v>
          </cell>
          <cell r="DX1047">
            <v>0</v>
          </cell>
          <cell r="DY1047">
            <v>1</v>
          </cell>
          <cell r="DZ1047">
            <v>0</v>
          </cell>
          <cell r="EA1047">
            <v>0</v>
          </cell>
          <cell r="EB1047">
            <v>0</v>
          </cell>
          <cell r="EC1047">
            <v>0</v>
          </cell>
        </row>
        <row r="1048"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R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BA1048">
            <v>0</v>
          </cell>
          <cell r="BB1048">
            <v>0</v>
          </cell>
          <cell r="BH1048">
            <v>0</v>
          </cell>
          <cell r="BI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U1048">
            <v>0</v>
          </cell>
          <cell r="BV1048">
            <v>0</v>
          </cell>
          <cell r="BW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0</v>
          </cell>
          <cell r="CD1048">
            <v>0</v>
          </cell>
          <cell r="CE1048">
            <v>0</v>
          </cell>
          <cell r="CH1048">
            <v>0</v>
          </cell>
          <cell r="CI1048">
            <v>0</v>
          </cell>
          <cell r="CJ1048">
            <v>0</v>
          </cell>
          <cell r="CK1048">
            <v>0</v>
          </cell>
          <cell r="CN1048">
            <v>0</v>
          </cell>
          <cell r="CO1048">
            <v>0</v>
          </cell>
          <cell r="CP1048">
            <v>0</v>
          </cell>
          <cell r="CS1048">
            <v>0</v>
          </cell>
          <cell r="CU1048">
            <v>0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B1048">
            <v>0</v>
          </cell>
          <cell r="DC1048">
            <v>0</v>
          </cell>
          <cell r="DD1048">
            <v>0</v>
          </cell>
          <cell r="DE1048">
            <v>0</v>
          </cell>
          <cell r="DF1048">
            <v>0</v>
          </cell>
          <cell r="DG1048">
            <v>0</v>
          </cell>
          <cell r="DH1048">
            <v>0</v>
          </cell>
          <cell r="DL1048">
            <v>0</v>
          </cell>
          <cell r="DM1048">
            <v>0</v>
          </cell>
          <cell r="DO1048">
            <v>0</v>
          </cell>
          <cell r="DQ1048">
            <v>0</v>
          </cell>
          <cell r="DW1048">
            <v>0</v>
          </cell>
          <cell r="DX1048">
            <v>0</v>
          </cell>
          <cell r="DY1048">
            <v>0</v>
          </cell>
          <cell r="DZ1048">
            <v>0</v>
          </cell>
          <cell r="EA1048">
            <v>0</v>
          </cell>
          <cell r="EB1048">
            <v>0</v>
          </cell>
          <cell r="EC1048">
            <v>0</v>
          </cell>
        </row>
        <row r="1049"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R1049">
            <v>0</v>
          </cell>
          <cell r="V1049">
            <v>0</v>
          </cell>
          <cell r="W1049">
            <v>1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BA1049">
            <v>0</v>
          </cell>
          <cell r="BB1049">
            <v>0</v>
          </cell>
          <cell r="BH1049">
            <v>0</v>
          </cell>
          <cell r="BI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U1049">
            <v>0</v>
          </cell>
          <cell r="BV1049">
            <v>0</v>
          </cell>
          <cell r="BW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0</v>
          </cell>
          <cell r="CD1049">
            <v>0</v>
          </cell>
          <cell r="CE1049">
            <v>0</v>
          </cell>
          <cell r="CH1049">
            <v>0</v>
          </cell>
          <cell r="CI1049">
            <v>0</v>
          </cell>
          <cell r="CJ1049">
            <v>0</v>
          </cell>
          <cell r="CK1049">
            <v>0</v>
          </cell>
          <cell r="CN1049">
            <v>0</v>
          </cell>
          <cell r="CO1049">
            <v>0</v>
          </cell>
          <cell r="CP1049">
            <v>0</v>
          </cell>
          <cell r="CS1049">
            <v>0</v>
          </cell>
          <cell r="CU1049">
            <v>0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B1049">
            <v>0</v>
          </cell>
          <cell r="DC1049">
            <v>0</v>
          </cell>
          <cell r="DD1049">
            <v>0</v>
          </cell>
          <cell r="DE1049">
            <v>0</v>
          </cell>
          <cell r="DF1049">
            <v>0</v>
          </cell>
          <cell r="DG1049">
            <v>0</v>
          </cell>
          <cell r="DH1049">
            <v>0</v>
          </cell>
          <cell r="DL1049">
            <v>0</v>
          </cell>
          <cell r="DM1049">
            <v>0</v>
          </cell>
          <cell r="DO1049">
            <v>0</v>
          </cell>
          <cell r="DQ1049">
            <v>1</v>
          </cell>
          <cell r="DW1049">
            <v>0</v>
          </cell>
          <cell r="DX1049">
            <v>0</v>
          </cell>
          <cell r="DY1049">
            <v>0</v>
          </cell>
          <cell r="DZ1049">
            <v>0</v>
          </cell>
          <cell r="EA1049">
            <v>0</v>
          </cell>
          <cell r="EB1049">
            <v>0</v>
          </cell>
          <cell r="EC1049">
            <v>0</v>
          </cell>
        </row>
        <row r="1050"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R1050">
            <v>0</v>
          </cell>
          <cell r="V1050">
            <v>0</v>
          </cell>
          <cell r="W1050">
            <v>1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BA1050">
            <v>0</v>
          </cell>
          <cell r="BB1050">
            <v>0</v>
          </cell>
          <cell r="BH1050">
            <v>0</v>
          </cell>
          <cell r="BI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U1050">
            <v>0</v>
          </cell>
          <cell r="BV1050">
            <v>0</v>
          </cell>
          <cell r="BW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0</v>
          </cell>
          <cell r="CD1050">
            <v>0</v>
          </cell>
          <cell r="CE1050">
            <v>0</v>
          </cell>
          <cell r="CH1050">
            <v>0</v>
          </cell>
          <cell r="CI1050">
            <v>3</v>
          </cell>
          <cell r="CJ1050">
            <v>3</v>
          </cell>
          <cell r="CK1050">
            <v>2</v>
          </cell>
          <cell r="CN1050">
            <v>2</v>
          </cell>
          <cell r="CO1050">
            <v>0</v>
          </cell>
          <cell r="CP1050">
            <v>0</v>
          </cell>
          <cell r="CS1050">
            <v>0</v>
          </cell>
          <cell r="CU1050">
            <v>0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2</v>
          </cell>
          <cell r="DB1050">
            <v>0</v>
          </cell>
          <cell r="DC1050">
            <v>0</v>
          </cell>
          <cell r="DD1050">
            <v>0</v>
          </cell>
          <cell r="DE1050">
            <v>0</v>
          </cell>
          <cell r="DF1050">
            <v>0</v>
          </cell>
          <cell r="DG1050">
            <v>0</v>
          </cell>
          <cell r="DH1050">
            <v>1</v>
          </cell>
          <cell r="DL1050">
            <v>0</v>
          </cell>
          <cell r="DM1050">
            <v>0</v>
          </cell>
          <cell r="DO1050">
            <v>0</v>
          </cell>
          <cell r="DQ1050">
            <v>0</v>
          </cell>
          <cell r="DW1050">
            <v>0</v>
          </cell>
          <cell r="DX1050">
            <v>0</v>
          </cell>
          <cell r="DY1050">
            <v>0</v>
          </cell>
          <cell r="DZ1050">
            <v>0</v>
          </cell>
          <cell r="EA1050">
            <v>0</v>
          </cell>
          <cell r="EB1050">
            <v>0</v>
          </cell>
          <cell r="EC1050">
            <v>0</v>
          </cell>
        </row>
        <row r="1051"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R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5</v>
          </cell>
          <cell r="Z1051">
            <v>0</v>
          </cell>
          <cell r="AA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BA1051">
            <v>0</v>
          </cell>
          <cell r="BB1051">
            <v>0</v>
          </cell>
          <cell r="BH1051">
            <v>0</v>
          </cell>
          <cell r="BI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U1051">
            <v>0</v>
          </cell>
          <cell r="BV1051">
            <v>0</v>
          </cell>
          <cell r="BW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0</v>
          </cell>
          <cell r="CD1051">
            <v>0</v>
          </cell>
          <cell r="CE1051">
            <v>0</v>
          </cell>
          <cell r="CH1051">
            <v>0</v>
          </cell>
          <cell r="CI1051">
            <v>0</v>
          </cell>
          <cell r="CJ1051">
            <v>0</v>
          </cell>
          <cell r="CK1051">
            <v>0</v>
          </cell>
          <cell r="CN1051">
            <v>0</v>
          </cell>
          <cell r="CO1051">
            <v>0</v>
          </cell>
          <cell r="CP1051">
            <v>0</v>
          </cell>
          <cell r="CS1051">
            <v>0</v>
          </cell>
          <cell r="CU1051">
            <v>0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B1051">
            <v>0</v>
          </cell>
          <cell r="DC1051">
            <v>0</v>
          </cell>
          <cell r="DD1051">
            <v>0</v>
          </cell>
          <cell r="DE1051">
            <v>0</v>
          </cell>
          <cell r="DF1051">
            <v>0</v>
          </cell>
          <cell r="DG1051">
            <v>0</v>
          </cell>
          <cell r="DH1051">
            <v>0</v>
          </cell>
          <cell r="DL1051">
            <v>0</v>
          </cell>
          <cell r="DM1051">
            <v>0</v>
          </cell>
          <cell r="DO1051">
            <v>0</v>
          </cell>
          <cell r="DQ1051">
            <v>0</v>
          </cell>
          <cell r="DW1051">
            <v>0</v>
          </cell>
          <cell r="DX1051">
            <v>0</v>
          </cell>
          <cell r="DY1051">
            <v>0</v>
          </cell>
          <cell r="DZ1051">
            <v>0</v>
          </cell>
          <cell r="EA1051">
            <v>0</v>
          </cell>
          <cell r="EB1051">
            <v>0</v>
          </cell>
          <cell r="EC1051">
            <v>0</v>
          </cell>
        </row>
        <row r="1052"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R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2</v>
          </cell>
          <cell r="AJ1052">
            <v>0</v>
          </cell>
          <cell r="AK1052">
            <v>0</v>
          </cell>
          <cell r="AL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U1052">
            <v>0</v>
          </cell>
          <cell r="AV1052">
            <v>0</v>
          </cell>
          <cell r="AW1052">
            <v>8</v>
          </cell>
          <cell r="AX1052">
            <v>18</v>
          </cell>
          <cell r="AY1052">
            <v>0</v>
          </cell>
          <cell r="BA1052">
            <v>0</v>
          </cell>
          <cell r="BB1052">
            <v>0</v>
          </cell>
          <cell r="BH1052">
            <v>0</v>
          </cell>
          <cell r="BI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U1052">
            <v>0</v>
          </cell>
          <cell r="BV1052">
            <v>0</v>
          </cell>
          <cell r="BW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0</v>
          </cell>
          <cell r="CD1052">
            <v>0</v>
          </cell>
          <cell r="CE1052">
            <v>0</v>
          </cell>
          <cell r="CH1052">
            <v>0</v>
          </cell>
          <cell r="CI1052">
            <v>0</v>
          </cell>
          <cell r="CJ1052">
            <v>0</v>
          </cell>
          <cell r="CK1052">
            <v>0</v>
          </cell>
          <cell r="CN1052">
            <v>0</v>
          </cell>
          <cell r="CO1052">
            <v>0</v>
          </cell>
          <cell r="CP1052">
            <v>0</v>
          </cell>
          <cell r="CS1052">
            <v>0</v>
          </cell>
          <cell r="CU1052">
            <v>0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B1052">
            <v>0</v>
          </cell>
          <cell r="DC1052">
            <v>0</v>
          </cell>
          <cell r="DD1052">
            <v>0</v>
          </cell>
          <cell r="DE1052">
            <v>0</v>
          </cell>
          <cell r="DF1052">
            <v>0</v>
          </cell>
          <cell r="DG1052">
            <v>0</v>
          </cell>
          <cell r="DH1052">
            <v>0</v>
          </cell>
          <cell r="DL1052">
            <v>0</v>
          </cell>
          <cell r="DM1052">
            <v>0</v>
          </cell>
          <cell r="DO1052">
            <v>0</v>
          </cell>
          <cell r="DQ1052">
            <v>0</v>
          </cell>
          <cell r="DW1052">
            <v>0</v>
          </cell>
          <cell r="DX1052">
            <v>0</v>
          </cell>
          <cell r="DY1052">
            <v>0</v>
          </cell>
          <cell r="DZ1052">
            <v>0</v>
          </cell>
          <cell r="EA1052">
            <v>0</v>
          </cell>
          <cell r="EB1052">
            <v>0</v>
          </cell>
          <cell r="EC1052">
            <v>0</v>
          </cell>
        </row>
        <row r="1053"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8</v>
          </cell>
          <cell r="R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BA1053">
            <v>0</v>
          </cell>
          <cell r="BB1053">
            <v>0</v>
          </cell>
          <cell r="BH1053">
            <v>0</v>
          </cell>
          <cell r="BI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U1053">
            <v>0</v>
          </cell>
          <cell r="BV1053">
            <v>0</v>
          </cell>
          <cell r="BW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0</v>
          </cell>
          <cell r="CD1053">
            <v>0</v>
          </cell>
          <cell r="CE1053">
            <v>0</v>
          </cell>
          <cell r="CH1053">
            <v>0</v>
          </cell>
          <cell r="CI1053">
            <v>0</v>
          </cell>
          <cell r="CJ1053">
            <v>0</v>
          </cell>
          <cell r="CK1053">
            <v>0</v>
          </cell>
          <cell r="CN1053">
            <v>0</v>
          </cell>
          <cell r="CO1053">
            <v>0</v>
          </cell>
          <cell r="CP1053">
            <v>0</v>
          </cell>
          <cell r="CS1053">
            <v>0</v>
          </cell>
          <cell r="CU1053">
            <v>0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B1053">
            <v>0</v>
          </cell>
          <cell r="DC1053">
            <v>0</v>
          </cell>
          <cell r="DD1053">
            <v>0</v>
          </cell>
          <cell r="DE1053">
            <v>0</v>
          </cell>
          <cell r="DF1053">
            <v>0</v>
          </cell>
          <cell r="DG1053">
            <v>0</v>
          </cell>
          <cell r="DH1053">
            <v>0</v>
          </cell>
          <cell r="DL1053">
            <v>0</v>
          </cell>
          <cell r="DM1053">
            <v>0</v>
          </cell>
          <cell r="DO1053">
            <v>0</v>
          </cell>
          <cell r="DQ1053">
            <v>0</v>
          </cell>
          <cell r="DW1053">
            <v>0</v>
          </cell>
          <cell r="DX1053">
            <v>0</v>
          </cell>
          <cell r="DY1053">
            <v>0</v>
          </cell>
          <cell r="DZ1053">
            <v>0</v>
          </cell>
          <cell r="EA1053">
            <v>0</v>
          </cell>
          <cell r="EB1053">
            <v>0</v>
          </cell>
          <cell r="EC1053">
            <v>0</v>
          </cell>
        </row>
        <row r="1054"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R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BA1054">
            <v>0</v>
          </cell>
          <cell r="BB1054">
            <v>0</v>
          </cell>
          <cell r="BH1054">
            <v>0</v>
          </cell>
          <cell r="BI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U1054">
            <v>0</v>
          </cell>
          <cell r="BV1054">
            <v>0</v>
          </cell>
          <cell r="BW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0</v>
          </cell>
          <cell r="CD1054">
            <v>0</v>
          </cell>
          <cell r="CE1054">
            <v>0</v>
          </cell>
          <cell r="CH1054">
            <v>2</v>
          </cell>
          <cell r="CI1054">
            <v>0</v>
          </cell>
          <cell r="CJ1054">
            <v>0</v>
          </cell>
          <cell r="CK1054">
            <v>0</v>
          </cell>
          <cell r="CN1054">
            <v>0</v>
          </cell>
          <cell r="CO1054">
            <v>0</v>
          </cell>
          <cell r="CP1054">
            <v>0</v>
          </cell>
          <cell r="CS1054">
            <v>0</v>
          </cell>
          <cell r="CU1054">
            <v>0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B1054">
            <v>0</v>
          </cell>
          <cell r="DC1054">
            <v>0</v>
          </cell>
          <cell r="DD1054">
            <v>0</v>
          </cell>
          <cell r="DE1054">
            <v>0</v>
          </cell>
          <cell r="DF1054">
            <v>0</v>
          </cell>
          <cell r="DG1054">
            <v>0</v>
          </cell>
          <cell r="DH1054">
            <v>0</v>
          </cell>
          <cell r="DL1054">
            <v>0</v>
          </cell>
          <cell r="DM1054">
            <v>0</v>
          </cell>
          <cell r="DO1054">
            <v>0</v>
          </cell>
          <cell r="DQ1054">
            <v>0</v>
          </cell>
          <cell r="DW1054">
            <v>0</v>
          </cell>
          <cell r="DX1054">
            <v>0</v>
          </cell>
          <cell r="DY1054">
            <v>0</v>
          </cell>
          <cell r="DZ1054">
            <v>0</v>
          </cell>
          <cell r="EA1054">
            <v>0</v>
          </cell>
          <cell r="EB1054">
            <v>0</v>
          </cell>
          <cell r="EC1054">
            <v>0</v>
          </cell>
        </row>
        <row r="1055"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R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1</v>
          </cell>
          <cell r="AI1055">
            <v>16</v>
          </cell>
          <cell r="AJ1055">
            <v>4</v>
          </cell>
          <cell r="AK1055">
            <v>0</v>
          </cell>
          <cell r="AL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BA1055">
            <v>0</v>
          </cell>
          <cell r="BB1055">
            <v>0</v>
          </cell>
          <cell r="BH1055">
            <v>0</v>
          </cell>
          <cell r="BI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U1055">
            <v>0</v>
          </cell>
          <cell r="BV1055">
            <v>0</v>
          </cell>
          <cell r="BW1055">
            <v>1</v>
          </cell>
          <cell r="BZ1055">
            <v>0</v>
          </cell>
          <cell r="CA1055">
            <v>0</v>
          </cell>
          <cell r="CB1055">
            <v>0</v>
          </cell>
          <cell r="CC1055">
            <v>0</v>
          </cell>
          <cell r="CD1055">
            <v>1</v>
          </cell>
          <cell r="CE1055">
            <v>0</v>
          </cell>
          <cell r="CH1055">
            <v>0</v>
          </cell>
          <cell r="CI1055">
            <v>0</v>
          </cell>
          <cell r="CJ1055">
            <v>0</v>
          </cell>
          <cell r="CK1055">
            <v>0</v>
          </cell>
          <cell r="CN1055">
            <v>0</v>
          </cell>
          <cell r="CO1055">
            <v>0</v>
          </cell>
          <cell r="CP1055">
            <v>0</v>
          </cell>
          <cell r="CS1055">
            <v>0</v>
          </cell>
          <cell r="CU1055">
            <v>0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B1055">
            <v>0</v>
          </cell>
          <cell r="DC1055">
            <v>0</v>
          </cell>
          <cell r="DD1055">
            <v>0</v>
          </cell>
          <cell r="DE1055">
            <v>0</v>
          </cell>
          <cell r="DF1055">
            <v>0</v>
          </cell>
          <cell r="DG1055">
            <v>0</v>
          </cell>
          <cell r="DH1055">
            <v>0</v>
          </cell>
          <cell r="DL1055">
            <v>0</v>
          </cell>
          <cell r="DM1055">
            <v>0</v>
          </cell>
          <cell r="DO1055">
            <v>0</v>
          </cell>
          <cell r="DQ1055">
            <v>0</v>
          </cell>
          <cell r="DW1055">
            <v>0</v>
          </cell>
          <cell r="DX1055">
            <v>0</v>
          </cell>
          <cell r="DY1055">
            <v>0</v>
          </cell>
          <cell r="DZ1055">
            <v>0</v>
          </cell>
          <cell r="EA1055">
            <v>0</v>
          </cell>
          <cell r="EB1055">
            <v>0</v>
          </cell>
          <cell r="EC1055">
            <v>0</v>
          </cell>
        </row>
        <row r="1056"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R1056">
            <v>0</v>
          </cell>
          <cell r="V1056">
            <v>0</v>
          </cell>
          <cell r="W1056">
            <v>1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BA1056">
            <v>0</v>
          </cell>
          <cell r="BB1056">
            <v>0</v>
          </cell>
          <cell r="BH1056">
            <v>0</v>
          </cell>
          <cell r="BI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0</v>
          </cell>
          <cell r="BS1056">
            <v>1</v>
          </cell>
          <cell r="BU1056">
            <v>0</v>
          </cell>
          <cell r="BV1056">
            <v>0</v>
          </cell>
          <cell r="BW1056">
            <v>0</v>
          </cell>
          <cell r="BZ1056">
            <v>0</v>
          </cell>
          <cell r="CA1056">
            <v>0</v>
          </cell>
          <cell r="CB1056">
            <v>2</v>
          </cell>
          <cell r="CC1056">
            <v>0</v>
          </cell>
          <cell r="CD1056">
            <v>0</v>
          </cell>
          <cell r="CE1056">
            <v>0</v>
          </cell>
          <cell r="CH1056">
            <v>0</v>
          </cell>
          <cell r="CI1056">
            <v>0</v>
          </cell>
          <cell r="CJ1056">
            <v>0</v>
          </cell>
          <cell r="CK1056">
            <v>0</v>
          </cell>
          <cell r="CN1056">
            <v>0</v>
          </cell>
          <cell r="CO1056">
            <v>0</v>
          </cell>
          <cell r="CP1056">
            <v>0</v>
          </cell>
          <cell r="CS1056">
            <v>0</v>
          </cell>
          <cell r="CU1056">
            <v>2</v>
          </cell>
          <cell r="CV1056">
            <v>5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B1056">
            <v>0</v>
          </cell>
          <cell r="DC1056">
            <v>0</v>
          </cell>
          <cell r="DD1056">
            <v>0</v>
          </cell>
          <cell r="DE1056">
            <v>0</v>
          </cell>
          <cell r="DF1056">
            <v>0</v>
          </cell>
          <cell r="DG1056">
            <v>0</v>
          </cell>
          <cell r="DH1056">
            <v>1</v>
          </cell>
          <cell r="DL1056">
            <v>0</v>
          </cell>
          <cell r="DM1056">
            <v>0</v>
          </cell>
          <cell r="DO1056">
            <v>0</v>
          </cell>
          <cell r="DQ1056">
            <v>0</v>
          </cell>
          <cell r="DW1056">
            <v>0</v>
          </cell>
          <cell r="DX1056">
            <v>0</v>
          </cell>
          <cell r="DY1056">
            <v>0</v>
          </cell>
          <cell r="DZ1056">
            <v>0</v>
          </cell>
          <cell r="EA1056">
            <v>0</v>
          </cell>
          <cell r="EB1056">
            <v>0</v>
          </cell>
          <cell r="EC1056">
            <v>0</v>
          </cell>
        </row>
        <row r="1057"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16</v>
          </cell>
          <cell r="I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2</v>
          </cell>
          <cell r="R1057">
            <v>0</v>
          </cell>
          <cell r="V1057">
            <v>0</v>
          </cell>
          <cell r="W1057">
            <v>6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16</v>
          </cell>
          <cell r="AS1057">
            <v>0</v>
          </cell>
          <cell r="AU1057">
            <v>0</v>
          </cell>
          <cell r="AV1057">
            <v>0</v>
          </cell>
          <cell r="AW1057">
            <v>2</v>
          </cell>
          <cell r="AX1057">
            <v>0</v>
          </cell>
          <cell r="AY1057">
            <v>0</v>
          </cell>
          <cell r="BA1057">
            <v>0</v>
          </cell>
          <cell r="BB1057">
            <v>0</v>
          </cell>
          <cell r="BH1057">
            <v>0</v>
          </cell>
          <cell r="BI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6</v>
          </cell>
          <cell r="BP1057">
            <v>0</v>
          </cell>
          <cell r="BQ1057">
            <v>0</v>
          </cell>
          <cell r="BR1057">
            <v>0</v>
          </cell>
          <cell r="BS1057">
            <v>0</v>
          </cell>
          <cell r="BU1057">
            <v>0</v>
          </cell>
          <cell r="BV1057">
            <v>1</v>
          </cell>
          <cell r="BW1057">
            <v>0</v>
          </cell>
          <cell r="BZ1057">
            <v>1</v>
          </cell>
          <cell r="CA1057">
            <v>1</v>
          </cell>
          <cell r="CB1057">
            <v>1</v>
          </cell>
          <cell r="CC1057">
            <v>0</v>
          </cell>
          <cell r="CD1057">
            <v>0</v>
          </cell>
          <cell r="CE1057">
            <v>0</v>
          </cell>
          <cell r="CH1057">
            <v>3</v>
          </cell>
          <cell r="CI1057">
            <v>3</v>
          </cell>
          <cell r="CJ1057">
            <v>3</v>
          </cell>
          <cell r="CK1057">
            <v>2</v>
          </cell>
          <cell r="CN1057">
            <v>2</v>
          </cell>
          <cell r="CO1057">
            <v>2</v>
          </cell>
          <cell r="CP1057">
            <v>0</v>
          </cell>
          <cell r="CS1057">
            <v>1</v>
          </cell>
          <cell r="CU1057">
            <v>1</v>
          </cell>
          <cell r="CV1057">
            <v>6</v>
          </cell>
          <cell r="CW1057">
            <v>0</v>
          </cell>
          <cell r="CX1057">
            <v>0</v>
          </cell>
          <cell r="CY1057">
            <v>0</v>
          </cell>
          <cell r="CZ1057">
            <v>1</v>
          </cell>
          <cell r="DB1057">
            <v>0</v>
          </cell>
          <cell r="DC1057">
            <v>0</v>
          </cell>
          <cell r="DD1057">
            <v>0</v>
          </cell>
          <cell r="DE1057">
            <v>0</v>
          </cell>
          <cell r="DF1057">
            <v>1</v>
          </cell>
          <cell r="DG1057">
            <v>3</v>
          </cell>
          <cell r="DH1057">
            <v>1</v>
          </cell>
          <cell r="DL1057">
            <v>0</v>
          </cell>
          <cell r="DM1057">
            <v>0</v>
          </cell>
          <cell r="DO1057">
            <v>0</v>
          </cell>
          <cell r="DQ1057">
            <v>0</v>
          </cell>
          <cell r="DW1057">
            <v>0</v>
          </cell>
          <cell r="DX1057">
            <v>0</v>
          </cell>
          <cell r="DY1057">
            <v>4</v>
          </cell>
          <cell r="DZ1057">
            <v>9</v>
          </cell>
          <cell r="EA1057">
            <v>0</v>
          </cell>
          <cell r="EB1057">
            <v>6</v>
          </cell>
          <cell r="EC1057">
            <v>0</v>
          </cell>
        </row>
        <row r="1058"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R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5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BA1058">
            <v>0</v>
          </cell>
          <cell r="BB1058">
            <v>0</v>
          </cell>
          <cell r="BH1058">
            <v>0</v>
          </cell>
          <cell r="BI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0</v>
          </cell>
          <cell r="BS1058">
            <v>0</v>
          </cell>
          <cell r="BU1058">
            <v>0</v>
          </cell>
          <cell r="BV1058">
            <v>0</v>
          </cell>
          <cell r="BW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0</v>
          </cell>
          <cell r="CD1058">
            <v>0</v>
          </cell>
          <cell r="CE1058">
            <v>0</v>
          </cell>
          <cell r="CH1058">
            <v>0</v>
          </cell>
          <cell r="CI1058">
            <v>0</v>
          </cell>
          <cell r="CJ1058">
            <v>0</v>
          </cell>
          <cell r="CK1058">
            <v>0</v>
          </cell>
          <cell r="CN1058">
            <v>0</v>
          </cell>
          <cell r="CO1058">
            <v>0</v>
          </cell>
          <cell r="CP1058">
            <v>0</v>
          </cell>
          <cell r="CS1058">
            <v>0</v>
          </cell>
          <cell r="CU1058">
            <v>0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B1058">
            <v>0</v>
          </cell>
          <cell r="DC1058">
            <v>0</v>
          </cell>
          <cell r="DD1058">
            <v>0</v>
          </cell>
          <cell r="DE1058">
            <v>0</v>
          </cell>
          <cell r="DF1058">
            <v>0</v>
          </cell>
          <cell r="DG1058">
            <v>0</v>
          </cell>
          <cell r="DH1058">
            <v>0</v>
          </cell>
          <cell r="DL1058">
            <v>0</v>
          </cell>
          <cell r="DM1058">
            <v>0</v>
          </cell>
          <cell r="DO1058">
            <v>0</v>
          </cell>
          <cell r="DQ1058">
            <v>0</v>
          </cell>
          <cell r="DW1058">
            <v>0</v>
          </cell>
          <cell r="DX1058">
            <v>0</v>
          </cell>
          <cell r="DY1058">
            <v>0</v>
          </cell>
          <cell r="DZ1058">
            <v>0</v>
          </cell>
          <cell r="EA1058">
            <v>0</v>
          </cell>
          <cell r="EB1058">
            <v>0</v>
          </cell>
          <cell r="EC1058">
            <v>0</v>
          </cell>
        </row>
        <row r="1059"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R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E1059">
            <v>1</v>
          </cell>
          <cell r="AF1059">
            <v>1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BA1059">
            <v>0</v>
          </cell>
          <cell r="BB1059">
            <v>0</v>
          </cell>
          <cell r="BH1059">
            <v>0</v>
          </cell>
          <cell r="BI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U1059">
            <v>0</v>
          </cell>
          <cell r="BV1059">
            <v>0</v>
          </cell>
          <cell r="BW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0</v>
          </cell>
          <cell r="CD1059">
            <v>0</v>
          </cell>
          <cell r="CE1059">
            <v>0</v>
          </cell>
          <cell r="CH1059">
            <v>0</v>
          </cell>
          <cell r="CI1059">
            <v>0</v>
          </cell>
          <cell r="CJ1059">
            <v>0</v>
          </cell>
          <cell r="CK1059">
            <v>0</v>
          </cell>
          <cell r="CN1059">
            <v>0</v>
          </cell>
          <cell r="CO1059">
            <v>0</v>
          </cell>
          <cell r="CP1059">
            <v>0</v>
          </cell>
          <cell r="CS1059">
            <v>0</v>
          </cell>
          <cell r="CU1059">
            <v>0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B1059">
            <v>0</v>
          </cell>
          <cell r="DC1059">
            <v>0</v>
          </cell>
          <cell r="DD1059">
            <v>0</v>
          </cell>
          <cell r="DE1059">
            <v>0</v>
          </cell>
          <cell r="DF1059">
            <v>0</v>
          </cell>
          <cell r="DG1059">
            <v>0</v>
          </cell>
          <cell r="DH1059">
            <v>0</v>
          </cell>
          <cell r="DL1059">
            <v>0</v>
          </cell>
          <cell r="DM1059">
            <v>0</v>
          </cell>
          <cell r="DO1059">
            <v>0</v>
          </cell>
          <cell r="DQ1059">
            <v>0</v>
          </cell>
          <cell r="DW1059">
            <v>0</v>
          </cell>
          <cell r="DX1059">
            <v>0</v>
          </cell>
          <cell r="DY1059">
            <v>0</v>
          </cell>
          <cell r="DZ1059">
            <v>0</v>
          </cell>
          <cell r="EA1059">
            <v>0</v>
          </cell>
          <cell r="EB1059">
            <v>0</v>
          </cell>
          <cell r="EC1059">
            <v>0</v>
          </cell>
        </row>
        <row r="1060"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7</v>
          </cell>
          <cell r="R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U1060">
            <v>0</v>
          </cell>
          <cell r="AV1060">
            <v>0</v>
          </cell>
          <cell r="AW1060">
            <v>7</v>
          </cell>
          <cell r="AX1060">
            <v>0</v>
          </cell>
          <cell r="AY1060">
            <v>0</v>
          </cell>
          <cell r="BA1060">
            <v>0</v>
          </cell>
          <cell r="BB1060">
            <v>0</v>
          </cell>
          <cell r="BH1060">
            <v>0</v>
          </cell>
          <cell r="BI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U1060">
            <v>0</v>
          </cell>
          <cell r="BV1060">
            <v>0</v>
          </cell>
          <cell r="BW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0</v>
          </cell>
          <cell r="CD1060">
            <v>0</v>
          </cell>
          <cell r="CE1060">
            <v>0</v>
          </cell>
          <cell r="CH1060">
            <v>0</v>
          </cell>
          <cell r="CI1060">
            <v>0</v>
          </cell>
          <cell r="CJ1060">
            <v>0</v>
          </cell>
          <cell r="CK1060">
            <v>0</v>
          </cell>
          <cell r="CN1060">
            <v>0</v>
          </cell>
          <cell r="CO1060">
            <v>0</v>
          </cell>
          <cell r="CP1060">
            <v>0</v>
          </cell>
          <cell r="CS1060">
            <v>0</v>
          </cell>
          <cell r="CU1060">
            <v>0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B1060">
            <v>0</v>
          </cell>
          <cell r="DC1060">
            <v>0</v>
          </cell>
          <cell r="DD1060">
            <v>0</v>
          </cell>
          <cell r="DE1060">
            <v>0</v>
          </cell>
          <cell r="DF1060">
            <v>0</v>
          </cell>
          <cell r="DG1060">
            <v>0</v>
          </cell>
          <cell r="DH1060">
            <v>0</v>
          </cell>
          <cell r="DL1060">
            <v>0</v>
          </cell>
          <cell r="DM1060">
            <v>0</v>
          </cell>
          <cell r="DO1060">
            <v>0</v>
          </cell>
          <cell r="DQ1060">
            <v>0</v>
          </cell>
          <cell r="DW1060">
            <v>0</v>
          </cell>
          <cell r="DX1060">
            <v>0</v>
          </cell>
          <cell r="DY1060">
            <v>0</v>
          </cell>
          <cell r="DZ1060">
            <v>0</v>
          </cell>
          <cell r="EA1060">
            <v>0</v>
          </cell>
          <cell r="EB1060">
            <v>0</v>
          </cell>
          <cell r="EC1060">
            <v>0</v>
          </cell>
        </row>
        <row r="1061"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R1061">
            <v>0</v>
          </cell>
          <cell r="V1061">
            <v>0</v>
          </cell>
          <cell r="W1061">
            <v>6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BA1061">
            <v>0</v>
          </cell>
          <cell r="BB1061">
            <v>0</v>
          </cell>
          <cell r="BH1061">
            <v>0</v>
          </cell>
          <cell r="BI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U1061">
            <v>0</v>
          </cell>
          <cell r="BV1061">
            <v>0</v>
          </cell>
          <cell r="BW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0</v>
          </cell>
          <cell r="CD1061">
            <v>0</v>
          </cell>
          <cell r="CE1061">
            <v>0</v>
          </cell>
          <cell r="CH1061">
            <v>0</v>
          </cell>
          <cell r="CI1061">
            <v>0</v>
          </cell>
          <cell r="CJ1061">
            <v>0</v>
          </cell>
          <cell r="CK1061">
            <v>0</v>
          </cell>
          <cell r="CN1061">
            <v>0</v>
          </cell>
          <cell r="CO1061">
            <v>0</v>
          </cell>
          <cell r="CP1061">
            <v>0</v>
          </cell>
          <cell r="CS1061">
            <v>0</v>
          </cell>
          <cell r="CU1061">
            <v>0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2</v>
          </cell>
          <cell r="DB1061">
            <v>0</v>
          </cell>
          <cell r="DC1061">
            <v>0</v>
          </cell>
          <cell r="DD1061">
            <v>0</v>
          </cell>
          <cell r="DE1061">
            <v>0</v>
          </cell>
          <cell r="DF1061">
            <v>0</v>
          </cell>
          <cell r="DG1061">
            <v>6</v>
          </cell>
          <cell r="DH1061">
            <v>0</v>
          </cell>
          <cell r="DL1061">
            <v>0</v>
          </cell>
          <cell r="DM1061">
            <v>0</v>
          </cell>
          <cell r="DO1061">
            <v>0</v>
          </cell>
          <cell r="DQ1061">
            <v>0</v>
          </cell>
          <cell r="DW1061">
            <v>7</v>
          </cell>
          <cell r="DX1061">
            <v>0</v>
          </cell>
          <cell r="DY1061">
            <v>0</v>
          </cell>
          <cell r="DZ1061">
            <v>0</v>
          </cell>
          <cell r="EA1061">
            <v>0</v>
          </cell>
          <cell r="EB1061">
            <v>0</v>
          </cell>
          <cell r="EC1061">
            <v>0</v>
          </cell>
        </row>
        <row r="1062"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R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24</v>
          </cell>
          <cell r="AY1062">
            <v>0</v>
          </cell>
          <cell r="BA1062">
            <v>0</v>
          </cell>
          <cell r="BB1062">
            <v>0</v>
          </cell>
          <cell r="BH1062">
            <v>0</v>
          </cell>
          <cell r="BI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U1062">
            <v>0</v>
          </cell>
          <cell r="BV1062">
            <v>0</v>
          </cell>
          <cell r="BW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0</v>
          </cell>
          <cell r="CD1062">
            <v>0</v>
          </cell>
          <cell r="CE1062">
            <v>0</v>
          </cell>
          <cell r="CH1062">
            <v>0</v>
          </cell>
          <cell r="CI1062">
            <v>0</v>
          </cell>
          <cell r="CJ1062">
            <v>0</v>
          </cell>
          <cell r="CK1062">
            <v>0</v>
          </cell>
          <cell r="CN1062">
            <v>0</v>
          </cell>
          <cell r="CO1062">
            <v>0</v>
          </cell>
          <cell r="CP1062">
            <v>0</v>
          </cell>
          <cell r="CS1062">
            <v>0</v>
          </cell>
          <cell r="CU1062">
            <v>0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B1062">
            <v>0</v>
          </cell>
          <cell r="DC1062">
            <v>0</v>
          </cell>
          <cell r="DD1062">
            <v>0</v>
          </cell>
          <cell r="DE1062">
            <v>0</v>
          </cell>
          <cell r="DF1062">
            <v>0</v>
          </cell>
          <cell r="DG1062">
            <v>0</v>
          </cell>
          <cell r="DH1062">
            <v>0</v>
          </cell>
          <cell r="DL1062">
            <v>0</v>
          </cell>
          <cell r="DM1062">
            <v>0</v>
          </cell>
          <cell r="DO1062">
            <v>0</v>
          </cell>
          <cell r="DQ1062">
            <v>0</v>
          </cell>
          <cell r="DW1062">
            <v>0</v>
          </cell>
          <cell r="DX1062">
            <v>0</v>
          </cell>
          <cell r="DY1062">
            <v>0</v>
          </cell>
          <cell r="DZ1062">
            <v>0</v>
          </cell>
          <cell r="EA1062">
            <v>0</v>
          </cell>
          <cell r="EB1062">
            <v>0</v>
          </cell>
          <cell r="EC1062">
            <v>0</v>
          </cell>
        </row>
        <row r="1063"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R1063">
            <v>0</v>
          </cell>
          <cell r="V1063">
            <v>0</v>
          </cell>
          <cell r="W1063">
            <v>2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BA1063">
            <v>0</v>
          </cell>
          <cell r="BB1063">
            <v>0</v>
          </cell>
          <cell r="BH1063">
            <v>0</v>
          </cell>
          <cell r="BI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0</v>
          </cell>
          <cell r="BS1063">
            <v>0</v>
          </cell>
          <cell r="BU1063">
            <v>0</v>
          </cell>
          <cell r="BV1063">
            <v>0</v>
          </cell>
          <cell r="BW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0</v>
          </cell>
          <cell r="CD1063">
            <v>0</v>
          </cell>
          <cell r="CE1063">
            <v>0</v>
          </cell>
          <cell r="CH1063">
            <v>0</v>
          </cell>
          <cell r="CI1063">
            <v>0</v>
          </cell>
          <cell r="CJ1063">
            <v>0</v>
          </cell>
          <cell r="CK1063">
            <v>0</v>
          </cell>
          <cell r="CN1063">
            <v>0</v>
          </cell>
          <cell r="CO1063">
            <v>0</v>
          </cell>
          <cell r="CP1063">
            <v>0</v>
          </cell>
          <cell r="CS1063">
            <v>0</v>
          </cell>
          <cell r="CU1063">
            <v>0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B1063">
            <v>0</v>
          </cell>
          <cell r="DC1063">
            <v>0</v>
          </cell>
          <cell r="DD1063">
            <v>0</v>
          </cell>
          <cell r="DE1063">
            <v>0</v>
          </cell>
          <cell r="DF1063">
            <v>0</v>
          </cell>
          <cell r="DG1063">
            <v>2</v>
          </cell>
          <cell r="DH1063">
            <v>0</v>
          </cell>
          <cell r="DL1063">
            <v>0</v>
          </cell>
          <cell r="DM1063">
            <v>0</v>
          </cell>
          <cell r="DO1063">
            <v>0</v>
          </cell>
          <cell r="DQ1063">
            <v>0</v>
          </cell>
          <cell r="DW1063">
            <v>0</v>
          </cell>
          <cell r="DX1063">
            <v>0</v>
          </cell>
          <cell r="DY1063">
            <v>0</v>
          </cell>
          <cell r="DZ1063">
            <v>0</v>
          </cell>
          <cell r="EA1063">
            <v>0</v>
          </cell>
          <cell r="EB1063">
            <v>0</v>
          </cell>
          <cell r="EC1063">
            <v>0</v>
          </cell>
        </row>
        <row r="1064"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R1064">
            <v>0</v>
          </cell>
          <cell r="V1064">
            <v>3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E1064">
            <v>4</v>
          </cell>
          <cell r="AF1064">
            <v>4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6</v>
          </cell>
          <cell r="AY1064">
            <v>0</v>
          </cell>
          <cell r="BA1064">
            <v>0</v>
          </cell>
          <cell r="BB1064">
            <v>0</v>
          </cell>
          <cell r="BH1064">
            <v>0</v>
          </cell>
          <cell r="BI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0</v>
          </cell>
          <cell r="BS1064">
            <v>0</v>
          </cell>
          <cell r="BU1064">
            <v>0</v>
          </cell>
          <cell r="BV1064">
            <v>0</v>
          </cell>
          <cell r="BW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0</v>
          </cell>
          <cell r="CD1064">
            <v>0</v>
          </cell>
          <cell r="CE1064">
            <v>0</v>
          </cell>
          <cell r="CH1064">
            <v>0</v>
          </cell>
          <cell r="CI1064">
            <v>0</v>
          </cell>
          <cell r="CJ1064">
            <v>0</v>
          </cell>
          <cell r="CK1064">
            <v>0</v>
          </cell>
          <cell r="CN1064">
            <v>0</v>
          </cell>
          <cell r="CO1064">
            <v>0</v>
          </cell>
          <cell r="CP1064">
            <v>0</v>
          </cell>
          <cell r="CS1064">
            <v>0</v>
          </cell>
          <cell r="CU1064">
            <v>0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B1064">
            <v>0</v>
          </cell>
          <cell r="DC1064">
            <v>0</v>
          </cell>
          <cell r="DD1064">
            <v>0</v>
          </cell>
          <cell r="DE1064">
            <v>0</v>
          </cell>
          <cell r="DF1064">
            <v>0</v>
          </cell>
          <cell r="DG1064">
            <v>0</v>
          </cell>
          <cell r="DH1064">
            <v>0</v>
          </cell>
          <cell r="DL1064">
            <v>0</v>
          </cell>
          <cell r="DM1064">
            <v>0</v>
          </cell>
          <cell r="DO1064">
            <v>0</v>
          </cell>
          <cell r="DQ1064">
            <v>0</v>
          </cell>
          <cell r="DW1064">
            <v>0</v>
          </cell>
          <cell r="DX1064">
            <v>0</v>
          </cell>
          <cell r="DY1064">
            <v>0</v>
          </cell>
          <cell r="DZ1064">
            <v>0</v>
          </cell>
          <cell r="EA1064">
            <v>0</v>
          </cell>
          <cell r="EB1064">
            <v>0</v>
          </cell>
          <cell r="EC1064">
            <v>0</v>
          </cell>
        </row>
        <row r="1065"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3</v>
          </cell>
          <cell r="I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R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6</v>
          </cell>
          <cell r="AS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BA1065">
            <v>0</v>
          </cell>
          <cell r="BB1065">
            <v>0</v>
          </cell>
          <cell r="BH1065">
            <v>0</v>
          </cell>
          <cell r="BI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0</v>
          </cell>
          <cell r="BS1065">
            <v>0</v>
          </cell>
          <cell r="BU1065">
            <v>0</v>
          </cell>
          <cell r="BV1065">
            <v>0</v>
          </cell>
          <cell r="BW1065">
            <v>0</v>
          </cell>
          <cell r="BZ1065">
            <v>0</v>
          </cell>
          <cell r="CA1065">
            <v>0</v>
          </cell>
          <cell r="CB1065">
            <v>1</v>
          </cell>
          <cell r="CC1065">
            <v>0</v>
          </cell>
          <cell r="CD1065">
            <v>0</v>
          </cell>
          <cell r="CE1065">
            <v>0</v>
          </cell>
          <cell r="CH1065">
            <v>0</v>
          </cell>
          <cell r="CI1065">
            <v>0</v>
          </cell>
          <cell r="CJ1065">
            <v>0</v>
          </cell>
          <cell r="CK1065">
            <v>0</v>
          </cell>
          <cell r="CN1065">
            <v>0</v>
          </cell>
          <cell r="CO1065">
            <v>0</v>
          </cell>
          <cell r="CP1065">
            <v>0</v>
          </cell>
          <cell r="CS1065">
            <v>0</v>
          </cell>
          <cell r="CU1065">
            <v>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1</v>
          </cell>
          <cell r="DB1065">
            <v>0</v>
          </cell>
          <cell r="DC1065">
            <v>0</v>
          </cell>
          <cell r="DD1065">
            <v>0</v>
          </cell>
          <cell r="DE1065">
            <v>0</v>
          </cell>
          <cell r="DF1065">
            <v>0</v>
          </cell>
          <cell r="DG1065">
            <v>0</v>
          </cell>
          <cell r="DH1065">
            <v>0</v>
          </cell>
          <cell r="DL1065">
            <v>0</v>
          </cell>
          <cell r="DM1065">
            <v>0</v>
          </cell>
          <cell r="DO1065">
            <v>0</v>
          </cell>
          <cell r="DQ1065">
            <v>0</v>
          </cell>
          <cell r="DW1065">
            <v>1</v>
          </cell>
          <cell r="DX1065">
            <v>0</v>
          </cell>
          <cell r="DY1065">
            <v>0</v>
          </cell>
          <cell r="DZ1065">
            <v>12</v>
          </cell>
          <cell r="EA1065">
            <v>0</v>
          </cell>
          <cell r="EB1065">
            <v>0</v>
          </cell>
          <cell r="EC1065">
            <v>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R1066">
            <v>0</v>
          </cell>
          <cell r="V1066">
            <v>0</v>
          </cell>
          <cell r="W1066">
            <v>1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1</v>
          </cell>
          <cell r="AS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BA1066">
            <v>0</v>
          </cell>
          <cell r="BB1066">
            <v>0</v>
          </cell>
          <cell r="BH1066">
            <v>0</v>
          </cell>
          <cell r="BI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2</v>
          </cell>
          <cell r="BP1066">
            <v>0</v>
          </cell>
          <cell r="BQ1066">
            <v>0</v>
          </cell>
          <cell r="BR1066">
            <v>0</v>
          </cell>
          <cell r="BS1066">
            <v>0</v>
          </cell>
          <cell r="BU1066">
            <v>2</v>
          </cell>
          <cell r="BV1066">
            <v>0</v>
          </cell>
          <cell r="BW1066">
            <v>0</v>
          </cell>
          <cell r="BZ1066">
            <v>0</v>
          </cell>
          <cell r="CA1066">
            <v>1</v>
          </cell>
          <cell r="CB1066">
            <v>0</v>
          </cell>
          <cell r="CC1066">
            <v>1</v>
          </cell>
          <cell r="CD1066">
            <v>0</v>
          </cell>
          <cell r="CE1066">
            <v>0</v>
          </cell>
          <cell r="CH1066">
            <v>0</v>
          </cell>
          <cell r="CI1066">
            <v>0</v>
          </cell>
          <cell r="CJ1066">
            <v>0</v>
          </cell>
          <cell r="CK1066">
            <v>0</v>
          </cell>
          <cell r="CN1066">
            <v>0</v>
          </cell>
          <cell r="CO1066">
            <v>0</v>
          </cell>
          <cell r="CP1066">
            <v>0</v>
          </cell>
          <cell r="CS1066">
            <v>0</v>
          </cell>
          <cell r="CU1066">
            <v>0</v>
          </cell>
          <cell r="CV1066">
            <v>3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B1066">
            <v>0</v>
          </cell>
          <cell r="DC1066">
            <v>0</v>
          </cell>
          <cell r="DD1066">
            <v>0</v>
          </cell>
          <cell r="DE1066">
            <v>0</v>
          </cell>
          <cell r="DF1066">
            <v>0</v>
          </cell>
          <cell r="DG1066">
            <v>0</v>
          </cell>
          <cell r="DH1066">
            <v>0</v>
          </cell>
          <cell r="DL1066">
            <v>0</v>
          </cell>
          <cell r="DM1066">
            <v>0</v>
          </cell>
          <cell r="DO1066">
            <v>0</v>
          </cell>
          <cell r="DQ1066">
            <v>1</v>
          </cell>
          <cell r="DW1066">
            <v>1</v>
          </cell>
          <cell r="DX1066">
            <v>0</v>
          </cell>
          <cell r="DY1066">
            <v>0</v>
          </cell>
          <cell r="DZ1066">
            <v>0</v>
          </cell>
          <cell r="EA1066">
            <v>0</v>
          </cell>
          <cell r="EB1066">
            <v>0</v>
          </cell>
          <cell r="EC1066">
            <v>0</v>
          </cell>
        </row>
        <row r="1067">
          <cell r="D1067">
            <v>5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R1067">
            <v>0</v>
          </cell>
          <cell r="V1067">
            <v>0</v>
          </cell>
          <cell r="W1067">
            <v>2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BA1067">
            <v>0</v>
          </cell>
          <cell r="BB1067">
            <v>0</v>
          </cell>
          <cell r="BH1067">
            <v>0</v>
          </cell>
          <cell r="BI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U1067">
            <v>0</v>
          </cell>
          <cell r="BV1067">
            <v>0</v>
          </cell>
          <cell r="BW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0</v>
          </cell>
          <cell r="CD1067">
            <v>0</v>
          </cell>
          <cell r="CE1067">
            <v>0</v>
          </cell>
          <cell r="CH1067">
            <v>0</v>
          </cell>
          <cell r="CI1067">
            <v>0</v>
          </cell>
          <cell r="CJ1067">
            <v>0</v>
          </cell>
          <cell r="CK1067">
            <v>0</v>
          </cell>
          <cell r="CN1067">
            <v>0</v>
          </cell>
          <cell r="CO1067">
            <v>0</v>
          </cell>
          <cell r="CP1067">
            <v>0</v>
          </cell>
          <cell r="CS1067">
            <v>0</v>
          </cell>
          <cell r="CU1067">
            <v>0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B1067">
            <v>0</v>
          </cell>
          <cell r="DC1067">
            <v>0</v>
          </cell>
          <cell r="DD1067">
            <v>0</v>
          </cell>
          <cell r="DE1067">
            <v>0</v>
          </cell>
          <cell r="DF1067">
            <v>0</v>
          </cell>
          <cell r="DG1067">
            <v>0</v>
          </cell>
          <cell r="DH1067">
            <v>0</v>
          </cell>
          <cell r="DL1067">
            <v>0</v>
          </cell>
          <cell r="DM1067">
            <v>0</v>
          </cell>
          <cell r="DO1067">
            <v>0</v>
          </cell>
          <cell r="DQ1067">
            <v>0</v>
          </cell>
          <cell r="DW1067">
            <v>0</v>
          </cell>
          <cell r="DX1067">
            <v>0</v>
          </cell>
          <cell r="DY1067">
            <v>0</v>
          </cell>
          <cell r="DZ1067">
            <v>0</v>
          </cell>
          <cell r="EA1067">
            <v>0</v>
          </cell>
          <cell r="EB1067">
            <v>0</v>
          </cell>
          <cell r="EC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R1068">
            <v>0</v>
          </cell>
          <cell r="V1068">
            <v>0</v>
          </cell>
          <cell r="W1068">
            <v>1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BA1068">
            <v>0</v>
          </cell>
          <cell r="BB1068">
            <v>0</v>
          </cell>
          <cell r="BH1068">
            <v>0</v>
          </cell>
          <cell r="BI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U1068">
            <v>0</v>
          </cell>
          <cell r="BV1068">
            <v>0</v>
          </cell>
          <cell r="BW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0</v>
          </cell>
          <cell r="CD1068">
            <v>0</v>
          </cell>
          <cell r="CE1068">
            <v>0</v>
          </cell>
          <cell r="CH1068">
            <v>0</v>
          </cell>
          <cell r="CI1068">
            <v>0</v>
          </cell>
          <cell r="CJ1068">
            <v>0</v>
          </cell>
          <cell r="CK1068">
            <v>0</v>
          </cell>
          <cell r="CN1068">
            <v>0</v>
          </cell>
          <cell r="CO1068">
            <v>0</v>
          </cell>
          <cell r="CP1068">
            <v>0</v>
          </cell>
          <cell r="CS1068">
            <v>0</v>
          </cell>
          <cell r="CU1068">
            <v>0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B1068">
            <v>0</v>
          </cell>
          <cell r="DC1068">
            <v>0</v>
          </cell>
          <cell r="DD1068">
            <v>0</v>
          </cell>
          <cell r="DE1068">
            <v>0</v>
          </cell>
          <cell r="DF1068">
            <v>0</v>
          </cell>
          <cell r="DG1068">
            <v>0</v>
          </cell>
          <cell r="DH1068">
            <v>0</v>
          </cell>
          <cell r="DL1068">
            <v>0</v>
          </cell>
          <cell r="DM1068">
            <v>0</v>
          </cell>
          <cell r="DO1068">
            <v>0</v>
          </cell>
          <cell r="DQ1068">
            <v>0</v>
          </cell>
          <cell r="DW1068">
            <v>0</v>
          </cell>
          <cell r="DX1068">
            <v>0</v>
          </cell>
          <cell r="DY1068">
            <v>0</v>
          </cell>
          <cell r="DZ1068">
            <v>0</v>
          </cell>
          <cell r="EA1068">
            <v>0</v>
          </cell>
          <cell r="EB1068">
            <v>0</v>
          </cell>
          <cell r="EC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R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BA1069">
            <v>0</v>
          </cell>
          <cell r="BB1069">
            <v>0</v>
          </cell>
          <cell r="BH1069">
            <v>0</v>
          </cell>
          <cell r="BI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0</v>
          </cell>
          <cell r="BS1069">
            <v>0</v>
          </cell>
          <cell r="BU1069">
            <v>0</v>
          </cell>
          <cell r="BV1069">
            <v>0</v>
          </cell>
          <cell r="BW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H1069">
            <v>0</v>
          </cell>
          <cell r="CI1069">
            <v>0</v>
          </cell>
          <cell r="CJ1069">
            <v>0</v>
          </cell>
          <cell r="CK1069">
            <v>0</v>
          </cell>
          <cell r="CN1069">
            <v>0</v>
          </cell>
          <cell r="CO1069">
            <v>0</v>
          </cell>
          <cell r="CP1069">
            <v>0</v>
          </cell>
          <cell r="CS1069">
            <v>0</v>
          </cell>
          <cell r="CU1069">
            <v>0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B1069">
            <v>0</v>
          </cell>
          <cell r="DC1069">
            <v>0</v>
          </cell>
          <cell r="DD1069">
            <v>0</v>
          </cell>
          <cell r="DE1069">
            <v>0</v>
          </cell>
          <cell r="DF1069">
            <v>0</v>
          </cell>
          <cell r="DG1069">
            <v>0</v>
          </cell>
          <cell r="DH1069">
            <v>0</v>
          </cell>
          <cell r="DL1069">
            <v>0</v>
          </cell>
          <cell r="DM1069">
            <v>0</v>
          </cell>
          <cell r="DO1069">
            <v>0</v>
          </cell>
          <cell r="DQ1069">
            <v>0</v>
          </cell>
          <cell r="DW1069">
            <v>0</v>
          </cell>
          <cell r="DX1069">
            <v>0</v>
          </cell>
          <cell r="DY1069">
            <v>0</v>
          </cell>
          <cell r="DZ1069">
            <v>0</v>
          </cell>
          <cell r="EA1069">
            <v>0</v>
          </cell>
          <cell r="EB1069">
            <v>0</v>
          </cell>
          <cell r="EC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R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N1070">
            <v>0</v>
          </cell>
          <cell r="AO1070">
            <v>0</v>
          </cell>
          <cell r="AP1070">
            <v>16</v>
          </cell>
          <cell r="AQ1070">
            <v>0</v>
          </cell>
          <cell r="AR1070">
            <v>0</v>
          </cell>
          <cell r="AS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BA1070">
            <v>0</v>
          </cell>
          <cell r="BB1070">
            <v>0</v>
          </cell>
          <cell r="BH1070">
            <v>0</v>
          </cell>
          <cell r="BI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0</v>
          </cell>
          <cell r="BS1070">
            <v>0</v>
          </cell>
          <cell r="BU1070">
            <v>0</v>
          </cell>
          <cell r="BV1070">
            <v>0</v>
          </cell>
          <cell r="BW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H1070">
            <v>0</v>
          </cell>
          <cell r="CI1070">
            <v>0</v>
          </cell>
          <cell r="CJ1070">
            <v>0</v>
          </cell>
          <cell r="CK1070">
            <v>0</v>
          </cell>
          <cell r="CN1070">
            <v>0</v>
          </cell>
          <cell r="CO1070">
            <v>0</v>
          </cell>
          <cell r="CP1070">
            <v>0</v>
          </cell>
          <cell r="CS1070">
            <v>0</v>
          </cell>
          <cell r="CU1070">
            <v>0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B1070">
            <v>0</v>
          </cell>
          <cell r="DC1070">
            <v>0</v>
          </cell>
          <cell r="DD1070">
            <v>0</v>
          </cell>
          <cell r="DE1070">
            <v>0</v>
          </cell>
          <cell r="DF1070">
            <v>0</v>
          </cell>
          <cell r="DG1070">
            <v>0</v>
          </cell>
          <cell r="DH1070">
            <v>0</v>
          </cell>
          <cell r="DL1070">
            <v>0</v>
          </cell>
          <cell r="DM1070">
            <v>0</v>
          </cell>
          <cell r="DO1070">
            <v>0</v>
          </cell>
          <cell r="DQ1070">
            <v>0</v>
          </cell>
          <cell r="DW1070">
            <v>0</v>
          </cell>
          <cell r="DX1070">
            <v>0</v>
          </cell>
          <cell r="DY1070">
            <v>0</v>
          </cell>
          <cell r="DZ1070">
            <v>0</v>
          </cell>
          <cell r="EA1070">
            <v>0</v>
          </cell>
          <cell r="EB1070">
            <v>0</v>
          </cell>
          <cell r="EC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R1071">
            <v>0</v>
          </cell>
          <cell r="V1071">
            <v>0</v>
          </cell>
          <cell r="W1071">
            <v>1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BA1071">
            <v>0</v>
          </cell>
          <cell r="BB1071">
            <v>0</v>
          </cell>
          <cell r="BH1071">
            <v>0</v>
          </cell>
          <cell r="BI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0</v>
          </cell>
          <cell r="BS1071">
            <v>0</v>
          </cell>
          <cell r="BU1071">
            <v>0</v>
          </cell>
          <cell r="BV1071">
            <v>0</v>
          </cell>
          <cell r="BW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H1071">
            <v>0</v>
          </cell>
          <cell r="CI1071">
            <v>0</v>
          </cell>
          <cell r="CJ1071">
            <v>0</v>
          </cell>
          <cell r="CK1071">
            <v>0</v>
          </cell>
          <cell r="CN1071">
            <v>0</v>
          </cell>
          <cell r="CO1071">
            <v>0</v>
          </cell>
          <cell r="CP1071">
            <v>0</v>
          </cell>
          <cell r="CS1071">
            <v>0</v>
          </cell>
          <cell r="CU1071">
            <v>0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B1071">
            <v>0</v>
          </cell>
          <cell r="DC1071">
            <v>0</v>
          </cell>
          <cell r="DD1071">
            <v>0</v>
          </cell>
          <cell r="DE1071">
            <v>0</v>
          </cell>
          <cell r="DF1071">
            <v>0</v>
          </cell>
          <cell r="DG1071">
            <v>0</v>
          </cell>
          <cell r="DH1071">
            <v>0</v>
          </cell>
          <cell r="DL1071">
            <v>0</v>
          </cell>
          <cell r="DM1071">
            <v>0</v>
          </cell>
          <cell r="DO1071">
            <v>0</v>
          </cell>
          <cell r="DQ1071">
            <v>1</v>
          </cell>
          <cell r="DW1071">
            <v>0</v>
          </cell>
          <cell r="DX1071">
            <v>0</v>
          </cell>
          <cell r="DY1071">
            <v>0</v>
          </cell>
          <cell r="DZ1071">
            <v>0</v>
          </cell>
          <cell r="EA1071">
            <v>0</v>
          </cell>
          <cell r="EB1071">
            <v>0</v>
          </cell>
          <cell r="EC1071">
            <v>0</v>
          </cell>
        </row>
        <row r="1072">
          <cell r="D1072">
            <v>0</v>
          </cell>
          <cell r="E1072">
            <v>1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R1072">
            <v>0</v>
          </cell>
          <cell r="V1072">
            <v>0</v>
          </cell>
          <cell r="W1072">
            <v>0</v>
          </cell>
          <cell r="X1072">
            <v>1</v>
          </cell>
          <cell r="Y1072">
            <v>1</v>
          </cell>
          <cell r="Z1072">
            <v>0</v>
          </cell>
          <cell r="AA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1</v>
          </cell>
          <cell r="AL1072">
            <v>1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1</v>
          </cell>
          <cell r="BA1072">
            <v>0</v>
          </cell>
          <cell r="BB1072">
            <v>0</v>
          </cell>
          <cell r="BH1072">
            <v>0</v>
          </cell>
          <cell r="BI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0</v>
          </cell>
          <cell r="BS1072">
            <v>0</v>
          </cell>
          <cell r="BU1072">
            <v>0</v>
          </cell>
          <cell r="BV1072">
            <v>0</v>
          </cell>
          <cell r="BW1072">
            <v>1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H1072">
            <v>0</v>
          </cell>
          <cell r="CI1072">
            <v>0</v>
          </cell>
          <cell r="CJ1072">
            <v>0</v>
          </cell>
          <cell r="CK1072">
            <v>0</v>
          </cell>
          <cell r="CN1072">
            <v>0</v>
          </cell>
          <cell r="CO1072">
            <v>0</v>
          </cell>
          <cell r="CP1072">
            <v>0</v>
          </cell>
          <cell r="CS1072">
            <v>0</v>
          </cell>
          <cell r="CU1072">
            <v>0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B1072">
            <v>0</v>
          </cell>
          <cell r="DC1072">
            <v>0</v>
          </cell>
          <cell r="DD1072">
            <v>0</v>
          </cell>
          <cell r="DE1072">
            <v>0</v>
          </cell>
          <cell r="DF1072">
            <v>0</v>
          </cell>
          <cell r="DG1072">
            <v>0</v>
          </cell>
          <cell r="DH1072">
            <v>0</v>
          </cell>
          <cell r="DL1072">
            <v>0</v>
          </cell>
          <cell r="DM1072">
            <v>0</v>
          </cell>
          <cell r="DO1072">
            <v>0</v>
          </cell>
          <cell r="DQ1072">
            <v>0</v>
          </cell>
          <cell r="DW1072">
            <v>0</v>
          </cell>
          <cell r="DX1072">
            <v>0</v>
          </cell>
          <cell r="DY1072">
            <v>0</v>
          </cell>
          <cell r="DZ1072">
            <v>0</v>
          </cell>
          <cell r="EA1072">
            <v>0</v>
          </cell>
          <cell r="EB1072">
            <v>0</v>
          </cell>
          <cell r="EC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R1073">
            <v>0</v>
          </cell>
          <cell r="V1073">
            <v>0</v>
          </cell>
          <cell r="W1073">
            <v>1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BA1073">
            <v>0</v>
          </cell>
          <cell r="BB1073">
            <v>0</v>
          </cell>
          <cell r="BH1073">
            <v>0</v>
          </cell>
          <cell r="BI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2</v>
          </cell>
          <cell r="BP1073">
            <v>0</v>
          </cell>
          <cell r="BQ1073">
            <v>0</v>
          </cell>
          <cell r="BR1073">
            <v>0</v>
          </cell>
          <cell r="BS1073">
            <v>0</v>
          </cell>
          <cell r="BU1073">
            <v>0</v>
          </cell>
          <cell r="BV1073">
            <v>0</v>
          </cell>
          <cell r="BW1073">
            <v>1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1</v>
          </cell>
          <cell r="CE1073">
            <v>0</v>
          </cell>
          <cell r="CH1073">
            <v>2</v>
          </cell>
          <cell r="CI1073">
            <v>0</v>
          </cell>
          <cell r="CJ1073">
            <v>0</v>
          </cell>
          <cell r="CK1073">
            <v>1</v>
          </cell>
          <cell r="CN1073">
            <v>1</v>
          </cell>
          <cell r="CO1073">
            <v>1</v>
          </cell>
          <cell r="CP1073">
            <v>0</v>
          </cell>
          <cell r="CS1073">
            <v>0</v>
          </cell>
          <cell r="CU1073">
            <v>0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B1073">
            <v>0</v>
          </cell>
          <cell r="DC1073">
            <v>0</v>
          </cell>
          <cell r="DD1073">
            <v>0</v>
          </cell>
          <cell r="DE1073">
            <v>0</v>
          </cell>
          <cell r="DF1073">
            <v>1</v>
          </cell>
          <cell r="DG1073">
            <v>0</v>
          </cell>
          <cell r="DH1073">
            <v>0</v>
          </cell>
          <cell r="DL1073">
            <v>0</v>
          </cell>
          <cell r="DM1073">
            <v>0</v>
          </cell>
          <cell r="DO1073">
            <v>0</v>
          </cell>
          <cell r="DQ1073">
            <v>0</v>
          </cell>
          <cell r="DW1073">
            <v>2</v>
          </cell>
          <cell r="DX1073">
            <v>0</v>
          </cell>
          <cell r="DY1073">
            <v>0</v>
          </cell>
          <cell r="DZ1073">
            <v>0</v>
          </cell>
          <cell r="EA1073">
            <v>0</v>
          </cell>
          <cell r="EB1073">
            <v>0</v>
          </cell>
          <cell r="EC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R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E1074">
            <v>1</v>
          </cell>
          <cell r="AF1074">
            <v>1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BA1074">
            <v>0</v>
          </cell>
          <cell r="BB1074">
            <v>0</v>
          </cell>
          <cell r="BH1074">
            <v>0</v>
          </cell>
          <cell r="BI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0</v>
          </cell>
          <cell r="BS1074">
            <v>0</v>
          </cell>
          <cell r="BU1074">
            <v>0</v>
          </cell>
          <cell r="BV1074">
            <v>0</v>
          </cell>
          <cell r="BW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H1074">
            <v>0</v>
          </cell>
          <cell r="CI1074">
            <v>0</v>
          </cell>
          <cell r="CJ1074">
            <v>0</v>
          </cell>
          <cell r="CK1074">
            <v>0</v>
          </cell>
          <cell r="CN1074">
            <v>0</v>
          </cell>
          <cell r="CO1074">
            <v>0</v>
          </cell>
          <cell r="CP1074">
            <v>0</v>
          </cell>
          <cell r="CS1074">
            <v>0</v>
          </cell>
          <cell r="CU1074">
            <v>0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B1074">
            <v>0</v>
          </cell>
          <cell r="DC1074">
            <v>0</v>
          </cell>
          <cell r="DD1074">
            <v>0</v>
          </cell>
          <cell r="DE1074">
            <v>0</v>
          </cell>
          <cell r="DF1074">
            <v>0</v>
          </cell>
          <cell r="DG1074">
            <v>0</v>
          </cell>
          <cell r="DH1074">
            <v>0</v>
          </cell>
          <cell r="DL1074">
            <v>0</v>
          </cell>
          <cell r="DM1074">
            <v>0</v>
          </cell>
          <cell r="DO1074">
            <v>0</v>
          </cell>
          <cell r="DQ1074">
            <v>0</v>
          </cell>
          <cell r="DW1074">
            <v>0</v>
          </cell>
          <cell r="DX1074">
            <v>0</v>
          </cell>
          <cell r="DY1074">
            <v>0</v>
          </cell>
          <cell r="DZ1074">
            <v>0</v>
          </cell>
          <cell r="EA1074">
            <v>0</v>
          </cell>
          <cell r="EB1074">
            <v>0</v>
          </cell>
          <cell r="EC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R1075">
            <v>0</v>
          </cell>
          <cell r="V1075">
            <v>0</v>
          </cell>
          <cell r="W1075">
            <v>3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1</v>
          </cell>
          <cell r="AS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BA1075">
            <v>0</v>
          </cell>
          <cell r="BB1075">
            <v>0</v>
          </cell>
          <cell r="BH1075">
            <v>0</v>
          </cell>
          <cell r="BI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0</v>
          </cell>
          <cell r="BS1075">
            <v>0</v>
          </cell>
          <cell r="BU1075">
            <v>0</v>
          </cell>
          <cell r="BV1075">
            <v>0</v>
          </cell>
          <cell r="BW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H1075">
            <v>2</v>
          </cell>
          <cell r="CI1075">
            <v>6</v>
          </cell>
          <cell r="CJ1075">
            <v>6</v>
          </cell>
          <cell r="CK1075">
            <v>4</v>
          </cell>
          <cell r="CN1075">
            <v>4</v>
          </cell>
          <cell r="CO1075">
            <v>0</v>
          </cell>
          <cell r="CP1075">
            <v>2</v>
          </cell>
          <cell r="CS1075">
            <v>0</v>
          </cell>
          <cell r="CU1075">
            <v>0</v>
          </cell>
          <cell r="CV1075">
            <v>0</v>
          </cell>
          <cell r="CW1075">
            <v>0</v>
          </cell>
          <cell r="CX1075">
            <v>0</v>
          </cell>
          <cell r="CY1075">
            <v>1</v>
          </cell>
          <cell r="CZ1075">
            <v>6</v>
          </cell>
          <cell r="DB1075">
            <v>0</v>
          </cell>
          <cell r="DC1075">
            <v>0</v>
          </cell>
          <cell r="DD1075">
            <v>0</v>
          </cell>
          <cell r="DE1075">
            <v>0</v>
          </cell>
          <cell r="DF1075">
            <v>0</v>
          </cell>
          <cell r="DG1075">
            <v>1</v>
          </cell>
          <cell r="DH1075">
            <v>2</v>
          </cell>
          <cell r="DL1075">
            <v>0</v>
          </cell>
          <cell r="DM1075">
            <v>0</v>
          </cell>
          <cell r="DO1075">
            <v>0</v>
          </cell>
          <cell r="DQ1075">
            <v>0</v>
          </cell>
          <cell r="DW1075">
            <v>0</v>
          </cell>
          <cell r="DX1075">
            <v>0</v>
          </cell>
          <cell r="DY1075">
            <v>1</v>
          </cell>
          <cell r="DZ1075">
            <v>0</v>
          </cell>
          <cell r="EA1075">
            <v>0</v>
          </cell>
          <cell r="EB1075">
            <v>0</v>
          </cell>
          <cell r="EC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R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BA1076">
            <v>0</v>
          </cell>
          <cell r="BB1076">
            <v>0</v>
          </cell>
          <cell r="BH1076">
            <v>0</v>
          </cell>
          <cell r="BI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U1076">
            <v>0</v>
          </cell>
          <cell r="BV1076">
            <v>0</v>
          </cell>
          <cell r="BW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H1076">
            <v>0</v>
          </cell>
          <cell r="CI1076">
            <v>0</v>
          </cell>
          <cell r="CJ1076">
            <v>0</v>
          </cell>
          <cell r="CK1076">
            <v>0</v>
          </cell>
          <cell r="CN1076">
            <v>0</v>
          </cell>
          <cell r="CO1076">
            <v>0</v>
          </cell>
          <cell r="CP1076">
            <v>0</v>
          </cell>
          <cell r="CS1076">
            <v>0</v>
          </cell>
          <cell r="CU1076">
            <v>0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B1076">
            <v>0</v>
          </cell>
          <cell r="DC1076">
            <v>0</v>
          </cell>
          <cell r="DD1076">
            <v>0</v>
          </cell>
          <cell r="DE1076">
            <v>0</v>
          </cell>
          <cell r="DF1076">
            <v>0</v>
          </cell>
          <cell r="DG1076">
            <v>0</v>
          </cell>
          <cell r="DH1076">
            <v>0</v>
          </cell>
          <cell r="DL1076">
            <v>0</v>
          </cell>
          <cell r="DM1076">
            <v>0</v>
          </cell>
          <cell r="DO1076">
            <v>0</v>
          </cell>
          <cell r="DQ1076">
            <v>0</v>
          </cell>
          <cell r="DW1076">
            <v>0</v>
          </cell>
          <cell r="DX1076">
            <v>0</v>
          </cell>
          <cell r="DY1076">
            <v>0</v>
          </cell>
          <cell r="DZ1076">
            <v>0</v>
          </cell>
          <cell r="EA1076">
            <v>0</v>
          </cell>
          <cell r="EB1076">
            <v>0</v>
          </cell>
          <cell r="EC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R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BA1077">
            <v>0</v>
          </cell>
          <cell r="BB1077">
            <v>0</v>
          </cell>
          <cell r="BH1077">
            <v>0</v>
          </cell>
          <cell r="BI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0</v>
          </cell>
          <cell r="BS1077">
            <v>0</v>
          </cell>
          <cell r="BU1077">
            <v>0</v>
          </cell>
          <cell r="BV1077">
            <v>0</v>
          </cell>
          <cell r="BW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H1077">
            <v>3</v>
          </cell>
          <cell r="CI1077">
            <v>0</v>
          </cell>
          <cell r="CJ1077">
            <v>0</v>
          </cell>
          <cell r="CK1077">
            <v>0</v>
          </cell>
          <cell r="CN1077">
            <v>0</v>
          </cell>
          <cell r="CO1077">
            <v>0</v>
          </cell>
          <cell r="CP1077">
            <v>0</v>
          </cell>
          <cell r="CS1077">
            <v>0</v>
          </cell>
          <cell r="CU1077">
            <v>0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B1077">
            <v>0</v>
          </cell>
          <cell r="DC1077">
            <v>0</v>
          </cell>
          <cell r="DD1077">
            <v>0</v>
          </cell>
          <cell r="DE1077">
            <v>0</v>
          </cell>
          <cell r="DF1077">
            <v>0</v>
          </cell>
          <cell r="DG1077">
            <v>0</v>
          </cell>
          <cell r="DH1077">
            <v>0</v>
          </cell>
          <cell r="DL1077">
            <v>0</v>
          </cell>
          <cell r="DM1077">
            <v>0</v>
          </cell>
          <cell r="DO1077">
            <v>0</v>
          </cell>
          <cell r="DQ1077">
            <v>0</v>
          </cell>
          <cell r="DW1077">
            <v>0</v>
          </cell>
          <cell r="DX1077">
            <v>0</v>
          </cell>
          <cell r="DY1077">
            <v>0</v>
          </cell>
          <cell r="DZ1077">
            <v>0</v>
          </cell>
          <cell r="EA1077">
            <v>0</v>
          </cell>
          <cell r="EB1077">
            <v>0</v>
          </cell>
          <cell r="EC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R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E1078">
            <v>1</v>
          </cell>
          <cell r="AF1078">
            <v>1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BA1078">
            <v>0</v>
          </cell>
          <cell r="BB1078">
            <v>0</v>
          </cell>
          <cell r="BH1078">
            <v>0</v>
          </cell>
          <cell r="BI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U1078">
            <v>0</v>
          </cell>
          <cell r="BV1078">
            <v>0</v>
          </cell>
          <cell r="BW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H1078">
            <v>0</v>
          </cell>
          <cell r="CI1078">
            <v>0</v>
          </cell>
          <cell r="CJ1078">
            <v>0</v>
          </cell>
          <cell r="CK1078">
            <v>0</v>
          </cell>
          <cell r="CN1078">
            <v>0</v>
          </cell>
          <cell r="CO1078">
            <v>0</v>
          </cell>
          <cell r="CP1078">
            <v>0</v>
          </cell>
          <cell r="CS1078">
            <v>0</v>
          </cell>
          <cell r="CU1078">
            <v>0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B1078">
            <v>0</v>
          </cell>
          <cell r="DC1078">
            <v>0</v>
          </cell>
          <cell r="DD1078">
            <v>0</v>
          </cell>
          <cell r="DE1078">
            <v>0</v>
          </cell>
          <cell r="DF1078">
            <v>0</v>
          </cell>
          <cell r="DG1078">
            <v>0</v>
          </cell>
          <cell r="DH1078">
            <v>0</v>
          </cell>
          <cell r="DL1078">
            <v>0</v>
          </cell>
          <cell r="DM1078">
            <v>0</v>
          </cell>
          <cell r="DO1078">
            <v>0</v>
          </cell>
          <cell r="DQ1078">
            <v>0</v>
          </cell>
          <cell r="DW1078">
            <v>0</v>
          </cell>
          <cell r="DX1078">
            <v>0</v>
          </cell>
          <cell r="DY1078">
            <v>0</v>
          </cell>
          <cell r="DZ1078">
            <v>0</v>
          </cell>
          <cell r="EA1078">
            <v>0</v>
          </cell>
          <cell r="EB1078">
            <v>0</v>
          </cell>
          <cell r="EC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R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BA1079">
            <v>0</v>
          </cell>
          <cell r="BB1079">
            <v>0</v>
          </cell>
          <cell r="BH1079">
            <v>0</v>
          </cell>
          <cell r="BI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U1079">
            <v>0</v>
          </cell>
          <cell r="BV1079">
            <v>0</v>
          </cell>
          <cell r="BW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H1079">
            <v>0</v>
          </cell>
          <cell r="CI1079">
            <v>0</v>
          </cell>
          <cell r="CJ1079">
            <v>0</v>
          </cell>
          <cell r="CK1079">
            <v>0</v>
          </cell>
          <cell r="CN1079">
            <v>0</v>
          </cell>
          <cell r="CO1079">
            <v>0</v>
          </cell>
          <cell r="CP1079">
            <v>0</v>
          </cell>
          <cell r="CS1079">
            <v>0</v>
          </cell>
          <cell r="CU1079">
            <v>0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B1079">
            <v>0</v>
          </cell>
          <cell r="DC1079">
            <v>0</v>
          </cell>
          <cell r="DD1079">
            <v>0</v>
          </cell>
          <cell r="DE1079">
            <v>0</v>
          </cell>
          <cell r="DF1079">
            <v>0</v>
          </cell>
          <cell r="DG1079">
            <v>0</v>
          </cell>
          <cell r="DH1079">
            <v>0</v>
          </cell>
          <cell r="DL1079">
            <v>0</v>
          </cell>
          <cell r="DM1079">
            <v>0</v>
          </cell>
          <cell r="DO1079">
            <v>0</v>
          </cell>
          <cell r="DQ1079">
            <v>0</v>
          </cell>
          <cell r="DW1079">
            <v>0</v>
          </cell>
          <cell r="DX1079">
            <v>0</v>
          </cell>
          <cell r="DY1079">
            <v>0</v>
          </cell>
          <cell r="DZ1079">
            <v>0</v>
          </cell>
          <cell r="EA1079">
            <v>0</v>
          </cell>
          <cell r="EB1079">
            <v>0</v>
          </cell>
          <cell r="EC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R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BA1080">
            <v>4</v>
          </cell>
          <cell r="BB1080">
            <v>4</v>
          </cell>
          <cell r="BH1080">
            <v>0</v>
          </cell>
          <cell r="BI1080">
            <v>0</v>
          </cell>
          <cell r="BL1080">
            <v>1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U1080">
            <v>0</v>
          </cell>
          <cell r="BV1080">
            <v>0</v>
          </cell>
          <cell r="BW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H1080">
            <v>0</v>
          </cell>
          <cell r="CI1080">
            <v>0</v>
          </cell>
          <cell r="CJ1080">
            <v>0</v>
          </cell>
          <cell r="CK1080">
            <v>0</v>
          </cell>
          <cell r="CN1080">
            <v>0</v>
          </cell>
          <cell r="CO1080">
            <v>0</v>
          </cell>
          <cell r="CP1080">
            <v>0</v>
          </cell>
          <cell r="CS1080">
            <v>0</v>
          </cell>
          <cell r="CU1080">
            <v>0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B1080">
            <v>0</v>
          </cell>
          <cell r="DC1080">
            <v>0</v>
          </cell>
          <cell r="DD1080">
            <v>0</v>
          </cell>
          <cell r="DE1080">
            <v>0</v>
          </cell>
          <cell r="DF1080">
            <v>0</v>
          </cell>
          <cell r="DG1080">
            <v>0</v>
          </cell>
          <cell r="DH1080">
            <v>0</v>
          </cell>
          <cell r="DL1080">
            <v>0</v>
          </cell>
          <cell r="DM1080">
            <v>0</v>
          </cell>
          <cell r="DO1080">
            <v>0</v>
          </cell>
          <cell r="DQ1080">
            <v>0</v>
          </cell>
          <cell r="DW1080">
            <v>0</v>
          </cell>
          <cell r="DX1080">
            <v>0</v>
          </cell>
          <cell r="DY1080">
            <v>0</v>
          </cell>
          <cell r="DZ1080">
            <v>0</v>
          </cell>
          <cell r="EA1080">
            <v>0</v>
          </cell>
          <cell r="EB1080">
            <v>0</v>
          </cell>
          <cell r="EC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R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E1081">
            <v>0</v>
          </cell>
          <cell r="AF1081">
            <v>0</v>
          </cell>
          <cell r="AG1081">
            <v>2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BA1081">
            <v>0</v>
          </cell>
          <cell r="BB1081">
            <v>0</v>
          </cell>
          <cell r="BH1081">
            <v>0</v>
          </cell>
          <cell r="BI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U1081">
            <v>0</v>
          </cell>
          <cell r="BV1081">
            <v>0</v>
          </cell>
          <cell r="BW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0</v>
          </cell>
          <cell r="CD1081">
            <v>0</v>
          </cell>
          <cell r="CE1081">
            <v>0</v>
          </cell>
          <cell r="CH1081">
            <v>0</v>
          </cell>
          <cell r="CI1081">
            <v>0</v>
          </cell>
          <cell r="CJ1081">
            <v>0</v>
          </cell>
          <cell r="CK1081">
            <v>0</v>
          </cell>
          <cell r="CN1081">
            <v>0</v>
          </cell>
          <cell r="CO1081">
            <v>0</v>
          </cell>
          <cell r="CP1081">
            <v>0</v>
          </cell>
          <cell r="CS1081">
            <v>0</v>
          </cell>
          <cell r="CU1081">
            <v>0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B1081">
            <v>0</v>
          </cell>
          <cell r="DC1081">
            <v>0</v>
          </cell>
          <cell r="DD1081">
            <v>0</v>
          </cell>
          <cell r="DE1081">
            <v>0</v>
          </cell>
          <cell r="DF1081">
            <v>0</v>
          </cell>
          <cell r="DG1081">
            <v>0</v>
          </cell>
          <cell r="DH1081">
            <v>0</v>
          </cell>
          <cell r="DL1081">
            <v>0</v>
          </cell>
          <cell r="DM1081">
            <v>0</v>
          </cell>
          <cell r="DO1081">
            <v>0</v>
          </cell>
          <cell r="DQ1081">
            <v>0</v>
          </cell>
          <cell r="DW1081">
            <v>0</v>
          </cell>
          <cell r="DX1081">
            <v>0</v>
          </cell>
          <cell r="DY1081">
            <v>0</v>
          </cell>
          <cell r="DZ1081">
            <v>0</v>
          </cell>
          <cell r="EA1081">
            <v>0</v>
          </cell>
          <cell r="EB1081">
            <v>0</v>
          </cell>
          <cell r="EC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1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R1082">
            <v>0</v>
          </cell>
          <cell r="V1082">
            <v>1</v>
          </cell>
          <cell r="W1082">
            <v>1</v>
          </cell>
          <cell r="X1082">
            <v>0</v>
          </cell>
          <cell r="Y1082">
            <v>0</v>
          </cell>
          <cell r="Z1082">
            <v>0</v>
          </cell>
          <cell r="AA1082">
            <v>1</v>
          </cell>
          <cell r="AE1082">
            <v>0</v>
          </cell>
          <cell r="AF1082">
            <v>0</v>
          </cell>
          <cell r="AG1082">
            <v>0</v>
          </cell>
          <cell r="AH1082">
            <v>1</v>
          </cell>
          <cell r="AI1082">
            <v>0</v>
          </cell>
          <cell r="AJ1082">
            <v>1</v>
          </cell>
          <cell r="AK1082">
            <v>0</v>
          </cell>
          <cell r="AL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1</v>
          </cell>
          <cell r="AR1082">
            <v>0</v>
          </cell>
          <cell r="AS1082">
            <v>0</v>
          </cell>
          <cell r="AU1082">
            <v>0</v>
          </cell>
          <cell r="AV1082">
            <v>0</v>
          </cell>
          <cell r="AW1082">
            <v>1</v>
          </cell>
          <cell r="AX1082">
            <v>0</v>
          </cell>
          <cell r="AY1082">
            <v>0</v>
          </cell>
          <cell r="BA1082">
            <v>0</v>
          </cell>
          <cell r="BB1082">
            <v>0</v>
          </cell>
          <cell r="BH1082">
            <v>0</v>
          </cell>
          <cell r="BI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U1082">
            <v>0</v>
          </cell>
          <cell r="BV1082">
            <v>0</v>
          </cell>
          <cell r="BW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H1082">
            <v>0</v>
          </cell>
          <cell r="CI1082">
            <v>1</v>
          </cell>
          <cell r="CJ1082">
            <v>1</v>
          </cell>
          <cell r="CK1082">
            <v>1</v>
          </cell>
          <cell r="CN1082">
            <v>1</v>
          </cell>
          <cell r="CO1082">
            <v>0</v>
          </cell>
          <cell r="CP1082">
            <v>0</v>
          </cell>
          <cell r="CS1082">
            <v>0</v>
          </cell>
          <cell r="CU1082">
            <v>0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1</v>
          </cell>
          <cell r="DB1082">
            <v>0</v>
          </cell>
          <cell r="DC1082">
            <v>0</v>
          </cell>
          <cell r="DD1082">
            <v>0</v>
          </cell>
          <cell r="DE1082">
            <v>0</v>
          </cell>
          <cell r="DF1082">
            <v>0</v>
          </cell>
          <cell r="DG1082">
            <v>0</v>
          </cell>
          <cell r="DH1082">
            <v>0</v>
          </cell>
          <cell r="DL1082">
            <v>0</v>
          </cell>
          <cell r="DM1082">
            <v>0</v>
          </cell>
          <cell r="DO1082">
            <v>0</v>
          </cell>
          <cell r="DQ1082">
            <v>0</v>
          </cell>
          <cell r="DW1082">
            <v>1</v>
          </cell>
          <cell r="DX1082">
            <v>0</v>
          </cell>
          <cell r="DY1082">
            <v>0</v>
          </cell>
          <cell r="DZ1082">
            <v>0</v>
          </cell>
          <cell r="EA1082">
            <v>0</v>
          </cell>
          <cell r="EB1082">
            <v>0</v>
          </cell>
          <cell r="EC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R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BA1083">
            <v>0</v>
          </cell>
          <cell r="BB1083">
            <v>0</v>
          </cell>
          <cell r="BH1083">
            <v>0</v>
          </cell>
          <cell r="BI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U1083">
            <v>0</v>
          </cell>
          <cell r="BV1083">
            <v>0</v>
          </cell>
          <cell r="BW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0</v>
          </cell>
          <cell r="CH1083">
            <v>0</v>
          </cell>
          <cell r="CI1083">
            <v>0</v>
          </cell>
          <cell r="CJ1083">
            <v>0</v>
          </cell>
          <cell r="CK1083">
            <v>0</v>
          </cell>
          <cell r="CN1083">
            <v>0</v>
          </cell>
          <cell r="CO1083">
            <v>0</v>
          </cell>
          <cell r="CP1083">
            <v>0</v>
          </cell>
          <cell r="CS1083">
            <v>0</v>
          </cell>
          <cell r="CU1083">
            <v>0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B1083">
            <v>0</v>
          </cell>
          <cell r="DC1083">
            <v>0</v>
          </cell>
          <cell r="DD1083">
            <v>0</v>
          </cell>
          <cell r="DE1083">
            <v>0</v>
          </cell>
          <cell r="DF1083">
            <v>0</v>
          </cell>
          <cell r="DG1083">
            <v>0</v>
          </cell>
          <cell r="DH1083">
            <v>0</v>
          </cell>
          <cell r="DL1083">
            <v>0</v>
          </cell>
          <cell r="DM1083">
            <v>0</v>
          </cell>
          <cell r="DO1083">
            <v>0</v>
          </cell>
          <cell r="DQ1083">
            <v>0</v>
          </cell>
          <cell r="DW1083">
            <v>0</v>
          </cell>
          <cell r="DX1083">
            <v>0</v>
          </cell>
          <cell r="DY1083">
            <v>0</v>
          </cell>
          <cell r="DZ1083">
            <v>0</v>
          </cell>
          <cell r="EA1083">
            <v>0</v>
          </cell>
          <cell r="EB1083">
            <v>0</v>
          </cell>
          <cell r="EC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R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1</v>
          </cell>
          <cell r="AA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U1084">
            <v>1</v>
          </cell>
          <cell r="AV1084">
            <v>1</v>
          </cell>
          <cell r="AW1084">
            <v>0</v>
          </cell>
          <cell r="AX1084">
            <v>0</v>
          </cell>
          <cell r="AY1084">
            <v>0</v>
          </cell>
          <cell r="BA1084">
            <v>0</v>
          </cell>
          <cell r="BB1084">
            <v>0</v>
          </cell>
          <cell r="BH1084">
            <v>0</v>
          </cell>
          <cell r="BI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1</v>
          </cell>
          <cell r="BR1084">
            <v>0</v>
          </cell>
          <cell r="BS1084">
            <v>1</v>
          </cell>
          <cell r="BU1084">
            <v>0</v>
          </cell>
          <cell r="BV1084">
            <v>0</v>
          </cell>
          <cell r="BW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0</v>
          </cell>
          <cell r="CD1084">
            <v>0</v>
          </cell>
          <cell r="CE1084">
            <v>0</v>
          </cell>
          <cell r="CH1084">
            <v>0</v>
          </cell>
          <cell r="CI1084">
            <v>0</v>
          </cell>
          <cell r="CJ1084">
            <v>0</v>
          </cell>
          <cell r="CK1084">
            <v>0</v>
          </cell>
          <cell r="CN1084">
            <v>0</v>
          </cell>
          <cell r="CO1084">
            <v>0</v>
          </cell>
          <cell r="CP1084">
            <v>0</v>
          </cell>
          <cell r="CS1084">
            <v>0</v>
          </cell>
          <cell r="CU1084">
            <v>0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B1084">
            <v>0</v>
          </cell>
          <cell r="DC1084">
            <v>0</v>
          </cell>
          <cell r="DD1084">
            <v>0</v>
          </cell>
          <cell r="DE1084">
            <v>0</v>
          </cell>
          <cell r="DF1084">
            <v>0</v>
          </cell>
          <cell r="DG1084">
            <v>0</v>
          </cell>
          <cell r="DH1084">
            <v>0</v>
          </cell>
          <cell r="DL1084">
            <v>0</v>
          </cell>
          <cell r="DM1084">
            <v>0</v>
          </cell>
          <cell r="DO1084">
            <v>0</v>
          </cell>
          <cell r="DQ1084">
            <v>0</v>
          </cell>
          <cell r="DW1084">
            <v>0</v>
          </cell>
          <cell r="DX1084">
            <v>0</v>
          </cell>
          <cell r="DY1084">
            <v>0</v>
          </cell>
          <cell r="DZ1084">
            <v>0</v>
          </cell>
          <cell r="EA1084">
            <v>0</v>
          </cell>
          <cell r="EB1084">
            <v>1</v>
          </cell>
          <cell r="EC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R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BA1085">
            <v>0</v>
          </cell>
          <cell r="BB1085">
            <v>0</v>
          </cell>
          <cell r="BH1085">
            <v>0</v>
          </cell>
          <cell r="BI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U1085">
            <v>0</v>
          </cell>
          <cell r="BV1085">
            <v>0</v>
          </cell>
          <cell r="BW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0</v>
          </cell>
          <cell r="CD1085">
            <v>0</v>
          </cell>
          <cell r="CE1085">
            <v>0</v>
          </cell>
          <cell r="CH1085">
            <v>0</v>
          </cell>
          <cell r="CI1085">
            <v>0</v>
          </cell>
          <cell r="CJ1085">
            <v>0</v>
          </cell>
          <cell r="CK1085">
            <v>0</v>
          </cell>
          <cell r="CN1085">
            <v>0</v>
          </cell>
          <cell r="CO1085">
            <v>0</v>
          </cell>
          <cell r="CP1085">
            <v>0</v>
          </cell>
          <cell r="CS1085">
            <v>0</v>
          </cell>
          <cell r="CU1085">
            <v>0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B1085">
            <v>0</v>
          </cell>
          <cell r="DC1085">
            <v>0</v>
          </cell>
          <cell r="DD1085">
            <v>0</v>
          </cell>
          <cell r="DE1085">
            <v>0</v>
          </cell>
          <cell r="DF1085">
            <v>0</v>
          </cell>
          <cell r="DG1085">
            <v>0</v>
          </cell>
          <cell r="DH1085">
            <v>0</v>
          </cell>
          <cell r="DL1085">
            <v>0</v>
          </cell>
          <cell r="DM1085">
            <v>0</v>
          </cell>
          <cell r="DO1085">
            <v>0</v>
          </cell>
          <cell r="DQ1085">
            <v>0</v>
          </cell>
          <cell r="DW1085">
            <v>0</v>
          </cell>
          <cell r="DX1085">
            <v>0</v>
          </cell>
          <cell r="DY1085">
            <v>0</v>
          </cell>
          <cell r="DZ1085">
            <v>0</v>
          </cell>
          <cell r="EA1085">
            <v>0</v>
          </cell>
          <cell r="EB1085">
            <v>0</v>
          </cell>
          <cell r="EC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R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BA1086">
            <v>0</v>
          </cell>
          <cell r="BB1086">
            <v>0</v>
          </cell>
          <cell r="BH1086">
            <v>0</v>
          </cell>
          <cell r="BI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2</v>
          </cell>
          <cell r="BU1086">
            <v>0</v>
          </cell>
          <cell r="BV1086">
            <v>0</v>
          </cell>
          <cell r="BW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0</v>
          </cell>
          <cell r="CD1086">
            <v>0</v>
          </cell>
          <cell r="CE1086">
            <v>0</v>
          </cell>
          <cell r="CH1086">
            <v>0</v>
          </cell>
          <cell r="CI1086">
            <v>0</v>
          </cell>
          <cell r="CJ1086">
            <v>0</v>
          </cell>
          <cell r="CK1086">
            <v>0</v>
          </cell>
          <cell r="CN1086">
            <v>0</v>
          </cell>
          <cell r="CO1086">
            <v>0</v>
          </cell>
          <cell r="CP1086">
            <v>0</v>
          </cell>
          <cell r="CS1086">
            <v>0</v>
          </cell>
          <cell r="CU1086">
            <v>0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B1086">
            <v>0</v>
          </cell>
          <cell r="DC1086">
            <v>0</v>
          </cell>
          <cell r="DD1086">
            <v>0</v>
          </cell>
          <cell r="DE1086">
            <v>0</v>
          </cell>
          <cell r="DF1086">
            <v>0</v>
          </cell>
          <cell r="DG1086">
            <v>0</v>
          </cell>
          <cell r="DH1086">
            <v>0</v>
          </cell>
          <cell r="DL1086">
            <v>0</v>
          </cell>
          <cell r="DM1086">
            <v>0</v>
          </cell>
          <cell r="DO1086">
            <v>0</v>
          </cell>
          <cell r="DQ1086">
            <v>0</v>
          </cell>
          <cell r="DW1086">
            <v>0</v>
          </cell>
          <cell r="DX1086">
            <v>0</v>
          </cell>
          <cell r="DY1086">
            <v>0</v>
          </cell>
          <cell r="DZ1086">
            <v>0</v>
          </cell>
          <cell r="EA1086">
            <v>0</v>
          </cell>
          <cell r="EB1086">
            <v>0</v>
          </cell>
          <cell r="EC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R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BA1087">
            <v>0</v>
          </cell>
          <cell r="BB1087">
            <v>0</v>
          </cell>
          <cell r="BH1087">
            <v>0</v>
          </cell>
          <cell r="BI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U1087">
            <v>0</v>
          </cell>
          <cell r="BV1087">
            <v>0</v>
          </cell>
          <cell r="BW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0</v>
          </cell>
          <cell r="CD1087">
            <v>0</v>
          </cell>
          <cell r="CE1087">
            <v>0</v>
          </cell>
          <cell r="CH1087">
            <v>0</v>
          </cell>
          <cell r="CI1087">
            <v>0</v>
          </cell>
          <cell r="CJ1087">
            <v>0</v>
          </cell>
          <cell r="CK1087">
            <v>0</v>
          </cell>
          <cell r="CN1087">
            <v>0</v>
          </cell>
          <cell r="CO1087">
            <v>0</v>
          </cell>
          <cell r="CP1087">
            <v>0</v>
          </cell>
          <cell r="CS1087">
            <v>0</v>
          </cell>
          <cell r="CU1087">
            <v>0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B1087">
            <v>0</v>
          </cell>
          <cell r="DC1087">
            <v>0</v>
          </cell>
          <cell r="DD1087">
            <v>0</v>
          </cell>
          <cell r="DE1087">
            <v>0</v>
          </cell>
          <cell r="DF1087">
            <v>0</v>
          </cell>
          <cell r="DG1087">
            <v>0</v>
          </cell>
          <cell r="DH1087">
            <v>0</v>
          </cell>
          <cell r="DL1087">
            <v>0</v>
          </cell>
          <cell r="DM1087">
            <v>0</v>
          </cell>
          <cell r="DO1087">
            <v>0</v>
          </cell>
          <cell r="DQ1087">
            <v>0</v>
          </cell>
          <cell r="DW1087">
            <v>0</v>
          </cell>
          <cell r="DX1087">
            <v>0</v>
          </cell>
          <cell r="DY1087">
            <v>0</v>
          </cell>
          <cell r="DZ1087">
            <v>0</v>
          </cell>
          <cell r="EA1087">
            <v>0</v>
          </cell>
          <cell r="EB1087">
            <v>0</v>
          </cell>
          <cell r="EC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R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BA1088">
            <v>0</v>
          </cell>
          <cell r="BB1088">
            <v>0</v>
          </cell>
          <cell r="BH1088">
            <v>0</v>
          </cell>
          <cell r="BI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U1088">
            <v>0</v>
          </cell>
          <cell r="BV1088">
            <v>0</v>
          </cell>
          <cell r="BW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0</v>
          </cell>
          <cell r="CD1088">
            <v>0</v>
          </cell>
          <cell r="CE1088">
            <v>0</v>
          </cell>
          <cell r="CH1088">
            <v>0</v>
          </cell>
          <cell r="CI1088">
            <v>0</v>
          </cell>
          <cell r="CJ1088">
            <v>0</v>
          </cell>
          <cell r="CK1088">
            <v>0</v>
          </cell>
          <cell r="CN1088">
            <v>0</v>
          </cell>
          <cell r="CO1088">
            <v>0</v>
          </cell>
          <cell r="CP1088">
            <v>0</v>
          </cell>
          <cell r="CS1088">
            <v>0</v>
          </cell>
          <cell r="CU1088">
            <v>0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B1088">
            <v>0</v>
          </cell>
          <cell r="DC1088">
            <v>0</v>
          </cell>
          <cell r="DD1088">
            <v>0</v>
          </cell>
          <cell r="DE1088">
            <v>0</v>
          </cell>
          <cell r="DF1088">
            <v>0</v>
          </cell>
          <cell r="DG1088">
            <v>0</v>
          </cell>
          <cell r="DH1088">
            <v>0</v>
          </cell>
          <cell r="DL1088">
            <v>0</v>
          </cell>
          <cell r="DM1088">
            <v>0</v>
          </cell>
          <cell r="DO1088">
            <v>0</v>
          </cell>
          <cell r="DQ1088">
            <v>0</v>
          </cell>
          <cell r="DW1088">
            <v>0</v>
          </cell>
          <cell r="DX1088">
            <v>0</v>
          </cell>
          <cell r="DY1088">
            <v>0</v>
          </cell>
          <cell r="DZ1088">
            <v>0</v>
          </cell>
          <cell r="EA1088">
            <v>0</v>
          </cell>
          <cell r="EB1088">
            <v>0</v>
          </cell>
          <cell r="EC1088">
            <v>1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R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BA1089">
            <v>0</v>
          </cell>
          <cell r="BB1089">
            <v>0</v>
          </cell>
          <cell r="BH1089">
            <v>0</v>
          </cell>
          <cell r="BI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U1089">
            <v>0</v>
          </cell>
          <cell r="BV1089">
            <v>0</v>
          </cell>
          <cell r="BW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0</v>
          </cell>
          <cell r="CD1089">
            <v>0</v>
          </cell>
          <cell r="CE1089">
            <v>0</v>
          </cell>
          <cell r="CH1089">
            <v>0</v>
          </cell>
          <cell r="CI1089">
            <v>1</v>
          </cell>
          <cell r="CJ1089">
            <v>1</v>
          </cell>
          <cell r="CK1089">
            <v>1</v>
          </cell>
          <cell r="CN1089">
            <v>1</v>
          </cell>
          <cell r="CO1089">
            <v>0</v>
          </cell>
          <cell r="CP1089">
            <v>0</v>
          </cell>
          <cell r="CS1089">
            <v>0</v>
          </cell>
          <cell r="CU1089">
            <v>0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1</v>
          </cell>
          <cell r="DB1089">
            <v>0</v>
          </cell>
          <cell r="DC1089">
            <v>0</v>
          </cell>
          <cell r="DD1089">
            <v>0</v>
          </cell>
          <cell r="DE1089">
            <v>0</v>
          </cell>
          <cell r="DF1089">
            <v>0</v>
          </cell>
          <cell r="DG1089">
            <v>0</v>
          </cell>
          <cell r="DH1089">
            <v>0</v>
          </cell>
          <cell r="DL1089">
            <v>0</v>
          </cell>
          <cell r="DM1089">
            <v>0</v>
          </cell>
          <cell r="DO1089">
            <v>0</v>
          </cell>
          <cell r="DQ1089">
            <v>0</v>
          </cell>
          <cell r="DW1089">
            <v>2</v>
          </cell>
          <cell r="DX1089">
            <v>0</v>
          </cell>
          <cell r="DY1089">
            <v>1</v>
          </cell>
          <cell r="DZ1089">
            <v>0</v>
          </cell>
          <cell r="EA1089">
            <v>0</v>
          </cell>
          <cell r="EB1089">
            <v>0</v>
          </cell>
          <cell r="EC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R1090">
            <v>0</v>
          </cell>
          <cell r="V1090">
            <v>0</v>
          </cell>
          <cell r="W1090">
            <v>1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BA1090">
            <v>0</v>
          </cell>
          <cell r="BB1090">
            <v>0</v>
          </cell>
          <cell r="BH1090">
            <v>0</v>
          </cell>
          <cell r="BI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U1090">
            <v>0</v>
          </cell>
          <cell r="BV1090">
            <v>0</v>
          </cell>
          <cell r="BW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N1090">
            <v>0</v>
          </cell>
          <cell r="CO1090">
            <v>0</v>
          </cell>
          <cell r="CP1090">
            <v>0</v>
          </cell>
          <cell r="CS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L1090">
            <v>0</v>
          </cell>
          <cell r="DM1090">
            <v>0</v>
          </cell>
          <cell r="DO1090">
            <v>0</v>
          </cell>
          <cell r="DQ1090">
            <v>1</v>
          </cell>
          <cell r="DW1090">
            <v>0</v>
          </cell>
          <cell r="DX1090">
            <v>0</v>
          </cell>
          <cell r="DY1090">
            <v>0</v>
          </cell>
          <cell r="DZ1090">
            <v>0</v>
          </cell>
          <cell r="EA1090">
            <v>0</v>
          </cell>
          <cell r="EB1090">
            <v>0</v>
          </cell>
          <cell r="EC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R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BA1091">
            <v>0</v>
          </cell>
          <cell r="BB1091">
            <v>0</v>
          </cell>
          <cell r="BH1091">
            <v>0</v>
          </cell>
          <cell r="BI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0</v>
          </cell>
          <cell r="BS1091">
            <v>0</v>
          </cell>
          <cell r="BU1091">
            <v>0</v>
          </cell>
          <cell r="BV1091">
            <v>0</v>
          </cell>
          <cell r="BW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0</v>
          </cell>
          <cell r="CD1091">
            <v>0</v>
          </cell>
          <cell r="CE1091">
            <v>0</v>
          </cell>
          <cell r="CH1091">
            <v>0</v>
          </cell>
          <cell r="CI1091">
            <v>0</v>
          </cell>
          <cell r="CJ1091">
            <v>0</v>
          </cell>
          <cell r="CK1091">
            <v>0</v>
          </cell>
          <cell r="CN1091">
            <v>0</v>
          </cell>
          <cell r="CO1091">
            <v>0</v>
          </cell>
          <cell r="CP1091">
            <v>0</v>
          </cell>
          <cell r="CS1091">
            <v>0</v>
          </cell>
          <cell r="CU1091">
            <v>0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B1091">
            <v>0</v>
          </cell>
          <cell r="DC1091">
            <v>0</v>
          </cell>
          <cell r="DD1091">
            <v>0</v>
          </cell>
          <cell r="DE1091">
            <v>0</v>
          </cell>
          <cell r="DF1091">
            <v>0</v>
          </cell>
          <cell r="DG1091">
            <v>0</v>
          </cell>
          <cell r="DH1091">
            <v>0</v>
          </cell>
          <cell r="DL1091">
            <v>0</v>
          </cell>
          <cell r="DM1091">
            <v>0</v>
          </cell>
          <cell r="DO1091">
            <v>0</v>
          </cell>
          <cell r="DQ1091">
            <v>0</v>
          </cell>
          <cell r="DW1091">
            <v>0</v>
          </cell>
          <cell r="DX1091">
            <v>0</v>
          </cell>
          <cell r="DY1091">
            <v>0</v>
          </cell>
          <cell r="DZ1091">
            <v>0</v>
          </cell>
          <cell r="EA1091">
            <v>0</v>
          </cell>
          <cell r="EB1091">
            <v>0</v>
          </cell>
          <cell r="EC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R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BA1092">
            <v>0</v>
          </cell>
          <cell r="BB1092">
            <v>0</v>
          </cell>
          <cell r="BH1092">
            <v>0</v>
          </cell>
          <cell r="BI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U1092">
            <v>0</v>
          </cell>
          <cell r="BV1092">
            <v>0</v>
          </cell>
          <cell r="BW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N1092">
            <v>0</v>
          </cell>
          <cell r="CO1092">
            <v>0</v>
          </cell>
          <cell r="CP1092">
            <v>0</v>
          </cell>
          <cell r="CS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L1092">
            <v>0</v>
          </cell>
          <cell r="DM1092">
            <v>0</v>
          </cell>
          <cell r="DO1092">
            <v>0</v>
          </cell>
          <cell r="DQ1092">
            <v>0</v>
          </cell>
          <cell r="DW1092">
            <v>0</v>
          </cell>
          <cell r="DX1092">
            <v>0</v>
          </cell>
          <cell r="DY1092">
            <v>0</v>
          </cell>
          <cell r="DZ1092">
            <v>0</v>
          </cell>
          <cell r="EA1092">
            <v>0</v>
          </cell>
          <cell r="EB1092">
            <v>0</v>
          </cell>
          <cell r="EC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R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BA1093">
            <v>0</v>
          </cell>
          <cell r="BB1093">
            <v>0</v>
          </cell>
          <cell r="BH1093">
            <v>0</v>
          </cell>
          <cell r="BI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U1093">
            <v>0</v>
          </cell>
          <cell r="BV1093">
            <v>0</v>
          </cell>
          <cell r="BW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0</v>
          </cell>
          <cell r="CD1093">
            <v>0</v>
          </cell>
          <cell r="CE1093">
            <v>0</v>
          </cell>
          <cell r="CH1093">
            <v>0</v>
          </cell>
          <cell r="CI1093">
            <v>0</v>
          </cell>
          <cell r="CJ1093">
            <v>0</v>
          </cell>
          <cell r="CK1093">
            <v>0</v>
          </cell>
          <cell r="CN1093">
            <v>0</v>
          </cell>
          <cell r="CO1093">
            <v>0</v>
          </cell>
          <cell r="CP1093">
            <v>0</v>
          </cell>
          <cell r="CS1093">
            <v>0</v>
          </cell>
          <cell r="CU1093">
            <v>0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B1093">
            <v>0</v>
          </cell>
          <cell r="DC1093">
            <v>0</v>
          </cell>
          <cell r="DD1093">
            <v>0</v>
          </cell>
          <cell r="DE1093">
            <v>0</v>
          </cell>
          <cell r="DF1093">
            <v>0</v>
          </cell>
          <cell r="DG1093">
            <v>0</v>
          </cell>
          <cell r="DH1093">
            <v>0</v>
          </cell>
          <cell r="DL1093">
            <v>0</v>
          </cell>
          <cell r="DM1093">
            <v>0</v>
          </cell>
          <cell r="DO1093">
            <v>0</v>
          </cell>
          <cell r="DQ1093">
            <v>0</v>
          </cell>
          <cell r="DW1093">
            <v>0</v>
          </cell>
          <cell r="DX1093">
            <v>0</v>
          </cell>
          <cell r="DY1093">
            <v>0</v>
          </cell>
          <cell r="DZ1093">
            <v>0</v>
          </cell>
          <cell r="EA1093">
            <v>0</v>
          </cell>
          <cell r="EB1093">
            <v>0</v>
          </cell>
          <cell r="EC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R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BA1094">
            <v>0</v>
          </cell>
          <cell r="BB1094">
            <v>0</v>
          </cell>
          <cell r="BH1094">
            <v>0</v>
          </cell>
          <cell r="BI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0</v>
          </cell>
          <cell r="BS1094">
            <v>0</v>
          </cell>
          <cell r="BU1094">
            <v>0</v>
          </cell>
          <cell r="BV1094">
            <v>0</v>
          </cell>
          <cell r="BW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0</v>
          </cell>
          <cell r="CD1094">
            <v>0</v>
          </cell>
          <cell r="CE1094">
            <v>0</v>
          </cell>
          <cell r="CH1094">
            <v>0</v>
          </cell>
          <cell r="CI1094">
            <v>0</v>
          </cell>
          <cell r="CJ1094">
            <v>0</v>
          </cell>
          <cell r="CK1094">
            <v>0</v>
          </cell>
          <cell r="CN1094">
            <v>0</v>
          </cell>
          <cell r="CO1094">
            <v>0</v>
          </cell>
          <cell r="CP1094">
            <v>0</v>
          </cell>
          <cell r="CS1094">
            <v>0</v>
          </cell>
          <cell r="CU1094">
            <v>0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B1094">
            <v>0</v>
          </cell>
          <cell r="DC1094">
            <v>0</v>
          </cell>
          <cell r="DD1094">
            <v>0</v>
          </cell>
          <cell r="DE1094">
            <v>0</v>
          </cell>
          <cell r="DF1094">
            <v>0</v>
          </cell>
          <cell r="DG1094">
            <v>0</v>
          </cell>
          <cell r="DH1094">
            <v>0</v>
          </cell>
          <cell r="DL1094">
            <v>0</v>
          </cell>
          <cell r="DM1094">
            <v>0</v>
          </cell>
          <cell r="DO1094">
            <v>0</v>
          </cell>
          <cell r="DQ1094">
            <v>0</v>
          </cell>
          <cell r="DW1094">
            <v>0</v>
          </cell>
          <cell r="DX1094">
            <v>0</v>
          </cell>
          <cell r="DY1094">
            <v>0</v>
          </cell>
          <cell r="DZ1094">
            <v>0</v>
          </cell>
          <cell r="EA1094">
            <v>0</v>
          </cell>
          <cell r="EB1094">
            <v>0</v>
          </cell>
          <cell r="EC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R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BA1095">
            <v>0</v>
          </cell>
          <cell r="BB1095">
            <v>0</v>
          </cell>
          <cell r="BH1095">
            <v>0</v>
          </cell>
          <cell r="BI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U1095">
            <v>0</v>
          </cell>
          <cell r="BV1095">
            <v>0</v>
          </cell>
          <cell r="BW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0</v>
          </cell>
          <cell r="CD1095">
            <v>0</v>
          </cell>
          <cell r="CE1095">
            <v>0</v>
          </cell>
          <cell r="CH1095">
            <v>0</v>
          </cell>
          <cell r="CI1095">
            <v>0</v>
          </cell>
          <cell r="CJ1095">
            <v>0</v>
          </cell>
          <cell r="CK1095">
            <v>0</v>
          </cell>
          <cell r="CN1095">
            <v>0</v>
          </cell>
          <cell r="CO1095">
            <v>0</v>
          </cell>
          <cell r="CP1095">
            <v>0</v>
          </cell>
          <cell r="CS1095">
            <v>0</v>
          </cell>
          <cell r="CU1095">
            <v>0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B1095">
            <v>0</v>
          </cell>
          <cell r="DC1095">
            <v>0</v>
          </cell>
          <cell r="DD1095">
            <v>0</v>
          </cell>
          <cell r="DE1095">
            <v>0</v>
          </cell>
          <cell r="DF1095">
            <v>0</v>
          </cell>
          <cell r="DG1095">
            <v>0</v>
          </cell>
          <cell r="DH1095">
            <v>0</v>
          </cell>
          <cell r="DL1095">
            <v>0</v>
          </cell>
          <cell r="DM1095">
            <v>0</v>
          </cell>
          <cell r="DO1095">
            <v>0</v>
          </cell>
          <cell r="DQ1095">
            <v>0</v>
          </cell>
          <cell r="DW1095">
            <v>0</v>
          </cell>
          <cell r="DX1095">
            <v>0</v>
          </cell>
          <cell r="DY1095">
            <v>0</v>
          </cell>
          <cell r="DZ1095">
            <v>0</v>
          </cell>
          <cell r="EA1095">
            <v>0</v>
          </cell>
          <cell r="EB1095">
            <v>0</v>
          </cell>
          <cell r="EC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R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BA1096">
            <v>0</v>
          </cell>
          <cell r="BB1096">
            <v>0</v>
          </cell>
          <cell r="BH1096">
            <v>0</v>
          </cell>
          <cell r="BI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U1096">
            <v>0</v>
          </cell>
          <cell r="BV1096">
            <v>0</v>
          </cell>
          <cell r="BW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0</v>
          </cell>
          <cell r="CD1096">
            <v>0</v>
          </cell>
          <cell r="CE1096">
            <v>0</v>
          </cell>
          <cell r="CH1096">
            <v>0</v>
          </cell>
          <cell r="CI1096">
            <v>0</v>
          </cell>
          <cell r="CJ1096">
            <v>0</v>
          </cell>
          <cell r="CK1096">
            <v>0</v>
          </cell>
          <cell r="CN1096">
            <v>0</v>
          </cell>
          <cell r="CO1096">
            <v>0</v>
          </cell>
          <cell r="CP1096">
            <v>0</v>
          </cell>
          <cell r="CS1096">
            <v>0</v>
          </cell>
          <cell r="CU1096">
            <v>0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B1096">
            <v>0</v>
          </cell>
          <cell r="DC1096">
            <v>0</v>
          </cell>
          <cell r="DD1096">
            <v>0</v>
          </cell>
          <cell r="DE1096">
            <v>0</v>
          </cell>
          <cell r="DF1096">
            <v>0</v>
          </cell>
          <cell r="DG1096">
            <v>0</v>
          </cell>
          <cell r="DH1096">
            <v>0</v>
          </cell>
          <cell r="DL1096">
            <v>0</v>
          </cell>
          <cell r="DM1096">
            <v>0</v>
          </cell>
          <cell r="DO1096">
            <v>0</v>
          </cell>
          <cell r="DQ1096">
            <v>0</v>
          </cell>
          <cell r="DW1096">
            <v>0</v>
          </cell>
          <cell r="DX1096">
            <v>0</v>
          </cell>
          <cell r="DY1096">
            <v>0</v>
          </cell>
          <cell r="DZ1096">
            <v>0</v>
          </cell>
          <cell r="EA1096">
            <v>0</v>
          </cell>
          <cell r="EB1096">
            <v>0</v>
          </cell>
          <cell r="EC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R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BA1097">
            <v>0</v>
          </cell>
          <cell r="BB1097">
            <v>0</v>
          </cell>
          <cell r="BH1097">
            <v>0</v>
          </cell>
          <cell r="BI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0</v>
          </cell>
          <cell r="BS1097">
            <v>0</v>
          </cell>
          <cell r="BU1097">
            <v>0</v>
          </cell>
          <cell r="BV1097">
            <v>0</v>
          </cell>
          <cell r="BW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0</v>
          </cell>
          <cell r="CD1097">
            <v>0</v>
          </cell>
          <cell r="CE1097">
            <v>0</v>
          </cell>
          <cell r="CH1097">
            <v>0</v>
          </cell>
          <cell r="CI1097">
            <v>0</v>
          </cell>
          <cell r="CJ1097">
            <v>0</v>
          </cell>
          <cell r="CK1097">
            <v>0</v>
          </cell>
          <cell r="CN1097">
            <v>0</v>
          </cell>
          <cell r="CO1097">
            <v>0</v>
          </cell>
          <cell r="CP1097">
            <v>0</v>
          </cell>
          <cell r="CS1097">
            <v>0</v>
          </cell>
          <cell r="CU1097">
            <v>0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B1097">
            <v>0</v>
          </cell>
          <cell r="DC1097">
            <v>0</v>
          </cell>
          <cell r="DD1097">
            <v>0</v>
          </cell>
          <cell r="DE1097">
            <v>0</v>
          </cell>
          <cell r="DF1097">
            <v>0</v>
          </cell>
          <cell r="DG1097">
            <v>0</v>
          </cell>
          <cell r="DH1097">
            <v>0</v>
          </cell>
          <cell r="DL1097">
            <v>0</v>
          </cell>
          <cell r="DM1097">
            <v>0</v>
          </cell>
          <cell r="DO1097">
            <v>0</v>
          </cell>
          <cell r="DQ1097">
            <v>0</v>
          </cell>
          <cell r="DW1097">
            <v>0</v>
          </cell>
          <cell r="DX1097">
            <v>0</v>
          </cell>
          <cell r="DY1097">
            <v>0</v>
          </cell>
          <cell r="DZ1097">
            <v>0</v>
          </cell>
          <cell r="EA1097">
            <v>0</v>
          </cell>
          <cell r="EB1097">
            <v>0</v>
          </cell>
          <cell r="EC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R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BA1098">
            <v>0</v>
          </cell>
          <cell r="BB1098">
            <v>0</v>
          </cell>
          <cell r="BH1098">
            <v>0</v>
          </cell>
          <cell r="BI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0</v>
          </cell>
          <cell r="BS1098">
            <v>0</v>
          </cell>
          <cell r="BU1098">
            <v>0</v>
          </cell>
          <cell r="BV1098">
            <v>0</v>
          </cell>
          <cell r="BW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0</v>
          </cell>
          <cell r="CD1098">
            <v>0</v>
          </cell>
          <cell r="CE1098">
            <v>0</v>
          </cell>
          <cell r="CH1098">
            <v>0</v>
          </cell>
          <cell r="CI1098">
            <v>0</v>
          </cell>
          <cell r="CJ1098">
            <v>0</v>
          </cell>
          <cell r="CK1098">
            <v>0</v>
          </cell>
          <cell r="CN1098">
            <v>0</v>
          </cell>
          <cell r="CO1098">
            <v>0</v>
          </cell>
          <cell r="CP1098">
            <v>0</v>
          </cell>
          <cell r="CS1098">
            <v>0</v>
          </cell>
          <cell r="CU1098">
            <v>0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B1098">
            <v>0</v>
          </cell>
          <cell r="DC1098">
            <v>0</v>
          </cell>
          <cell r="DD1098">
            <v>0</v>
          </cell>
          <cell r="DE1098">
            <v>0</v>
          </cell>
          <cell r="DF1098">
            <v>0</v>
          </cell>
          <cell r="DG1098">
            <v>0</v>
          </cell>
          <cell r="DH1098">
            <v>0</v>
          </cell>
          <cell r="DL1098">
            <v>0</v>
          </cell>
          <cell r="DM1098">
            <v>0</v>
          </cell>
          <cell r="DO1098">
            <v>0</v>
          </cell>
          <cell r="DQ1098">
            <v>0</v>
          </cell>
          <cell r="DW1098">
            <v>0</v>
          </cell>
          <cell r="DX1098">
            <v>0</v>
          </cell>
          <cell r="DY1098">
            <v>0</v>
          </cell>
          <cell r="DZ1098">
            <v>0</v>
          </cell>
          <cell r="EA1098">
            <v>0</v>
          </cell>
          <cell r="EB1098">
            <v>0</v>
          </cell>
          <cell r="EC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R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BA1099">
            <v>0</v>
          </cell>
          <cell r="BB1099">
            <v>0</v>
          </cell>
          <cell r="BH1099">
            <v>0</v>
          </cell>
          <cell r="BI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0</v>
          </cell>
          <cell r="BS1099">
            <v>0</v>
          </cell>
          <cell r="BU1099">
            <v>0</v>
          </cell>
          <cell r="BV1099">
            <v>0</v>
          </cell>
          <cell r="BW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0</v>
          </cell>
          <cell r="CD1099">
            <v>0</v>
          </cell>
          <cell r="CE1099">
            <v>0</v>
          </cell>
          <cell r="CH1099">
            <v>0</v>
          </cell>
          <cell r="CI1099">
            <v>0</v>
          </cell>
          <cell r="CJ1099">
            <v>0</v>
          </cell>
          <cell r="CK1099">
            <v>0</v>
          </cell>
          <cell r="CN1099">
            <v>0</v>
          </cell>
          <cell r="CO1099">
            <v>0</v>
          </cell>
          <cell r="CP1099">
            <v>0</v>
          </cell>
          <cell r="CS1099">
            <v>0</v>
          </cell>
          <cell r="CU1099">
            <v>0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B1099">
            <v>0</v>
          </cell>
          <cell r="DC1099">
            <v>0</v>
          </cell>
          <cell r="DD1099">
            <v>0</v>
          </cell>
          <cell r="DE1099">
            <v>0</v>
          </cell>
          <cell r="DF1099">
            <v>0</v>
          </cell>
          <cell r="DG1099">
            <v>0</v>
          </cell>
          <cell r="DH1099">
            <v>0</v>
          </cell>
          <cell r="DL1099">
            <v>0</v>
          </cell>
          <cell r="DM1099">
            <v>0</v>
          </cell>
          <cell r="DO1099">
            <v>0</v>
          </cell>
          <cell r="DQ1099">
            <v>0</v>
          </cell>
          <cell r="DW1099">
            <v>0</v>
          </cell>
          <cell r="DX1099">
            <v>0</v>
          </cell>
          <cell r="DY1099">
            <v>0</v>
          </cell>
          <cell r="DZ1099">
            <v>0</v>
          </cell>
          <cell r="EA1099">
            <v>0</v>
          </cell>
          <cell r="EB1099">
            <v>0</v>
          </cell>
          <cell r="EC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R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BA1100">
            <v>0</v>
          </cell>
          <cell r="BB1100">
            <v>0</v>
          </cell>
          <cell r="BH1100">
            <v>0</v>
          </cell>
          <cell r="BI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U1100">
            <v>0</v>
          </cell>
          <cell r="BV1100">
            <v>0</v>
          </cell>
          <cell r="BW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  <cell r="CN1100">
            <v>0</v>
          </cell>
          <cell r="CO1100">
            <v>0</v>
          </cell>
          <cell r="CP1100">
            <v>0</v>
          </cell>
          <cell r="CS1100">
            <v>0</v>
          </cell>
          <cell r="CU1100">
            <v>0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B1100">
            <v>0</v>
          </cell>
          <cell r="DC1100">
            <v>0</v>
          </cell>
          <cell r="DD1100">
            <v>0</v>
          </cell>
          <cell r="DE1100">
            <v>0</v>
          </cell>
          <cell r="DF1100">
            <v>0</v>
          </cell>
          <cell r="DG1100">
            <v>0</v>
          </cell>
          <cell r="DH1100">
            <v>0</v>
          </cell>
          <cell r="DL1100">
            <v>0</v>
          </cell>
          <cell r="DM1100">
            <v>0</v>
          </cell>
          <cell r="DO1100">
            <v>0</v>
          </cell>
          <cell r="DQ1100">
            <v>0</v>
          </cell>
          <cell r="DW1100">
            <v>0</v>
          </cell>
          <cell r="DX1100">
            <v>0</v>
          </cell>
          <cell r="DY1100">
            <v>0</v>
          </cell>
          <cell r="DZ1100">
            <v>0</v>
          </cell>
          <cell r="EA1100">
            <v>0</v>
          </cell>
          <cell r="EB1100">
            <v>0</v>
          </cell>
          <cell r="EC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R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BA1101">
            <v>0</v>
          </cell>
          <cell r="BB1101">
            <v>0</v>
          </cell>
          <cell r="BH1101">
            <v>0</v>
          </cell>
          <cell r="BI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U1101">
            <v>0</v>
          </cell>
          <cell r="BV1101">
            <v>0</v>
          </cell>
          <cell r="BW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0</v>
          </cell>
          <cell r="CD1101">
            <v>0</v>
          </cell>
          <cell r="CE1101">
            <v>0</v>
          </cell>
          <cell r="CH1101">
            <v>0</v>
          </cell>
          <cell r="CI1101">
            <v>0</v>
          </cell>
          <cell r="CJ1101">
            <v>0</v>
          </cell>
          <cell r="CK1101">
            <v>0</v>
          </cell>
          <cell r="CN1101">
            <v>0</v>
          </cell>
          <cell r="CO1101">
            <v>0</v>
          </cell>
          <cell r="CP1101">
            <v>0</v>
          </cell>
          <cell r="CS1101">
            <v>0</v>
          </cell>
          <cell r="CU1101">
            <v>0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B1101">
            <v>0</v>
          </cell>
          <cell r="DC1101">
            <v>0</v>
          </cell>
          <cell r="DD1101">
            <v>0</v>
          </cell>
          <cell r="DE1101">
            <v>0</v>
          </cell>
          <cell r="DF1101">
            <v>0</v>
          </cell>
          <cell r="DG1101">
            <v>0</v>
          </cell>
          <cell r="DH1101">
            <v>0</v>
          </cell>
          <cell r="DL1101">
            <v>0</v>
          </cell>
          <cell r="DM1101">
            <v>0</v>
          </cell>
          <cell r="DO1101">
            <v>0</v>
          </cell>
          <cell r="DQ1101">
            <v>0</v>
          </cell>
          <cell r="DW1101">
            <v>0</v>
          </cell>
          <cell r="DX1101">
            <v>0</v>
          </cell>
          <cell r="DY1101">
            <v>0</v>
          </cell>
          <cell r="DZ1101">
            <v>0</v>
          </cell>
          <cell r="EA1101">
            <v>0</v>
          </cell>
          <cell r="EB1101">
            <v>0</v>
          </cell>
          <cell r="EC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R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BA1102">
            <v>0</v>
          </cell>
          <cell r="BB1102">
            <v>0</v>
          </cell>
          <cell r="BH1102">
            <v>0</v>
          </cell>
          <cell r="BI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U1102">
            <v>0</v>
          </cell>
          <cell r="BV1102">
            <v>0</v>
          </cell>
          <cell r="BW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0</v>
          </cell>
          <cell r="CD1102">
            <v>0</v>
          </cell>
          <cell r="CE1102">
            <v>0</v>
          </cell>
          <cell r="CH1102">
            <v>0</v>
          </cell>
          <cell r="CI1102">
            <v>0</v>
          </cell>
          <cell r="CJ1102">
            <v>0</v>
          </cell>
          <cell r="CK1102">
            <v>0</v>
          </cell>
          <cell r="CN1102">
            <v>0</v>
          </cell>
          <cell r="CO1102">
            <v>0</v>
          </cell>
          <cell r="CP1102">
            <v>0</v>
          </cell>
          <cell r="CS1102">
            <v>0</v>
          </cell>
          <cell r="CU1102">
            <v>0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B1102">
            <v>0</v>
          </cell>
          <cell r="DC1102">
            <v>0</v>
          </cell>
          <cell r="DD1102">
            <v>0</v>
          </cell>
          <cell r="DE1102">
            <v>0</v>
          </cell>
          <cell r="DF1102">
            <v>0</v>
          </cell>
          <cell r="DG1102">
            <v>0</v>
          </cell>
          <cell r="DH1102">
            <v>0</v>
          </cell>
          <cell r="DL1102">
            <v>0</v>
          </cell>
          <cell r="DM1102">
            <v>0</v>
          </cell>
          <cell r="DO1102">
            <v>0</v>
          </cell>
          <cell r="DQ1102">
            <v>0</v>
          </cell>
          <cell r="DW1102">
            <v>0</v>
          </cell>
          <cell r="DX1102">
            <v>0</v>
          </cell>
          <cell r="DY1102">
            <v>0</v>
          </cell>
          <cell r="DZ1102">
            <v>0</v>
          </cell>
          <cell r="EA1102">
            <v>0</v>
          </cell>
          <cell r="EB1102">
            <v>0</v>
          </cell>
          <cell r="EC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R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BA1103">
            <v>0</v>
          </cell>
          <cell r="BB1103">
            <v>0</v>
          </cell>
          <cell r="BH1103">
            <v>0</v>
          </cell>
          <cell r="BI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U1103">
            <v>0</v>
          </cell>
          <cell r="BV1103">
            <v>0</v>
          </cell>
          <cell r="BW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0</v>
          </cell>
          <cell r="CD1103">
            <v>0</v>
          </cell>
          <cell r="CE1103">
            <v>0</v>
          </cell>
          <cell r="CH1103">
            <v>0</v>
          </cell>
          <cell r="CI1103">
            <v>0</v>
          </cell>
          <cell r="CJ1103">
            <v>0</v>
          </cell>
          <cell r="CK1103">
            <v>0</v>
          </cell>
          <cell r="CN1103">
            <v>0</v>
          </cell>
          <cell r="CO1103">
            <v>0</v>
          </cell>
          <cell r="CP1103">
            <v>0</v>
          </cell>
          <cell r="CS1103">
            <v>0</v>
          </cell>
          <cell r="CU1103">
            <v>0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B1103">
            <v>0</v>
          </cell>
          <cell r="DC1103">
            <v>0</v>
          </cell>
          <cell r="DD1103">
            <v>0</v>
          </cell>
          <cell r="DE1103">
            <v>0</v>
          </cell>
          <cell r="DF1103">
            <v>0</v>
          </cell>
          <cell r="DG1103">
            <v>0</v>
          </cell>
          <cell r="DH1103">
            <v>0</v>
          </cell>
          <cell r="DL1103">
            <v>0</v>
          </cell>
          <cell r="DM1103">
            <v>0</v>
          </cell>
          <cell r="DO1103">
            <v>0</v>
          </cell>
          <cell r="DQ1103">
            <v>0</v>
          </cell>
          <cell r="DW1103">
            <v>0</v>
          </cell>
          <cell r="DX1103">
            <v>0</v>
          </cell>
          <cell r="DY1103">
            <v>0</v>
          </cell>
          <cell r="DZ1103">
            <v>0</v>
          </cell>
          <cell r="EA1103">
            <v>0</v>
          </cell>
          <cell r="EB1103">
            <v>0</v>
          </cell>
          <cell r="EC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R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BA1104">
            <v>0</v>
          </cell>
          <cell r="BB1104">
            <v>0</v>
          </cell>
          <cell r="BH1104">
            <v>0</v>
          </cell>
          <cell r="BI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U1104">
            <v>0</v>
          </cell>
          <cell r="BV1104">
            <v>0</v>
          </cell>
          <cell r="BW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0</v>
          </cell>
          <cell r="CD1104">
            <v>0</v>
          </cell>
          <cell r="CE1104">
            <v>0</v>
          </cell>
          <cell r="CH1104">
            <v>0</v>
          </cell>
          <cell r="CI1104">
            <v>0</v>
          </cell>
          <cell r="CJ1104">
            <v>0</v>
          </cell>
          <cell r="CK1104">
            <v>0</v>
          </cell>
          <cell r="CN1104">
            <v>0</v>
          </cell>
          <cell r="CO1104">
            <v>0</v>
          </cell>
          <cell r="CP1104">
            <v>0</v>
          </cell>
          <cell r="CS1104">
            <v>0</v>
          </cell>
          <cell r="CU1104">
            <v>0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B1104">
            <v>0</v>
          </cell>
          <cell r="DC1104">
            <v>0</v>
          </cell>
          <cell r="DD1104">
            <v>0</v>
          </cell>
          <cell r="DE1104">
            <v>0</v>
          </cell>
          <cell r="DF1104">
            <v>0</v>
          </cell>
          <cell r="DG1104">
            <v>0</v>
          </cell>
          <cell r="DH1104">
            <v>0</v>
          </cell>
          <cell r="DL1104">
            <v>0</v>
          </cell>
          <cell r="DM1104">
            <v>0</v>
          </cell>
          <cell r="DO1104">
            <v>0</v>
          </cell>
          <cell r="DQ1104">
            <v>0</v>
          </cell>
          <cell r="DW1104">
            <v>0</v>
          </cell>
          <cell r="DX1104">
            <v>0</v>
          </cell>
          <cell r="DY1104">
            <v>0</v>
          </cell>
          <cell r="DZ1104">
            <v>0</v>
          </cell>
          <cell r="EA1104">
            <v>0</v>
          </cell>
          <cell r="EB1104">
            <v>0</v>
          </cell>
          <cell r="EC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R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BA1105">
            <v>0</v>
          </cell>
          <cell r="BB1105">
            <v>0</v>
          </cell>
          <cell r="BH1105">
            <v>0</v>
          </cell>
          <cell r="BI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  <cell r="BU1105">
            <v>0</v>
          </cell>
          <cell r="BV1105">
            <v>0</v>
          </cell>
          <cell r="BW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0</v>
          </cell>
          <cell r="CD1105">
            <v>0</v>
          </cell>
          <cell r="CE1105">
            <v>0</v>
          </cell>
          <cell r="CH1105">
            <v>0</v>
          </cell>
          <cell r="CI1105">
            <v>0</v>
          </cell>
          <cell r="CJ1105">
            <v>0</v>
          </cell>
          <cell r="CK1105">
            <v>0</v>
          </cell>
          <cell r="CN1105">
            <v>0</v>
          </cell>
          <cell r="CO1105">
            <v>0</v>
          </cell>
          <cell r="CP1105">
            <v>0</v>
          </cell>
          <cell r="CS1105">
            <v>0</v>
          </cell>
          <cell r="CU1105">
            <v>0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B1105">
            <v>0</v>
          </cell>
          <cell r="DC1105">
            <v>0</v>
          </cell>
          <cell r="DD1105">
            <v>0</v>
          </cell>
          <cell r="DE1105">
            <v>0</v>
          </cell>
          <cell r="DF1105">
            <v>0</v>
          </cell>
          <cell r="DG1105">
            <v>0</v>
          </cell>
          <cell r="DH1105">
            <v>0</v>
          </cell>
          <cell r="DL1105">
            <v>0</v>
          </cell>
          <cell r="DM1105">
            <v>0</v>
          </cell>
          <cell r="DO1105">
            <v>0</v>
          </cell>
          <cell r="DQ1105">
            <v>0</v>
          </cell>
          <cell r="DW1105">
            <v>0</v>
          </cell>
          <cell r="DX1105">
            <v>0</v>
          </cell>
          <cell r="DY1105">
            <v>0</v>
          </cell>
          <cell r="DZ1105">
            <v>0</v>
          </cell>
          <cell r="EA1105">
            <v>0</v>
          </cell>
          <cell r="EB1105">
            <v>0</v>
          </cell>
          <cell r="EC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R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BA1106">
            <v>0</v>
          </cell>
          <cell r="BB1106">
            <v>0</v>
          </cell>
          <cell r="BH1106">
            <v>0</v>
          </cell>
          <cell r="BI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  <cell r="BU1106">
            <v>0</v>
          </cell>
          <cell r="BV1106">
            <v>0</v>
          </cell>
          <cell r="BW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H1106">
            <v>0</v>
          </cell>
          <cell r="CI1106">
            <v>0</v>
          </cell>
          <cell r="CJ1106">
            <v>0</v>
          </cell>
          <cell r="CK1106">
            <v>0</v>
          </cell>
          <cell r="CN1106">
            <v>0</v>
          </cell>
          <cell r="CO1106">
            <v>0</v>
          </cell>
          <cell r="CP1106">
            <v>0</v>
          </cell>
          <cell r="CS1106">
            <v>0</v>
          </cell>
          <cell r="CU1106">
            <v>0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B1106">
            <v>0</v>
          </cell>
          <cell r="DC1106">
            <v>0</v>
          </cell>
          <cell r="DD1106">
            <v>0</v>
          </cell>
          <cell r="DE1106">
            <v>0</v>
          </cell>
          <cell r="DF1106">
            <v>0</v>
          </cell>
          <cell r="DG1106">
            <v>0</v>
          </cell>
          <cell r="DH1106">
            <v>0</v>
          </cell>
          <cell r="DL1106">
            <v>0</v>
          </cell>
          <cell r="DM1106">
            <v>0</v>
          </cell>
          <cell r="DO1106">
            <v>0</v>
          </cell>
          <cell r="DQ1106">
            <v>0</v>
          </cell>
          <cell r="DW1106">
            <v>0</v>
          </cell>
          <cell r="DX1106">
            <v>0</v>
          </cell>
          <cell r="DY1106">
            <v>0</v>
          </cell>
          <cell r="DZ1106">
            <v>0</v>
          </cell>
          <cell r="EA1106">
            <v>0</v>
          </cell>
          <cell r="EB1106">
            <v>0</v>
          </cell>
          <cell r="EC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R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BA1107">
            <v>0</v>
          </cell>
          <cell r="BB1107">
            <v>0</v>
          </cell>
          <cell r="BH1107">
            <v>0</v>
          </cell>
          <cell r="BI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U1107">
            <v>0</v>
          </cell>
          <cell r="BV1107">
            <v>0</v>
          </cell>
          <cell r="BW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H1107">
            <v>0</v>
          </cell>
          <cell r="CI1107">
            <v>0</v>
          </cell>
          <cell r="CJ1107">
            <v>0</v>
          </cell>
          <cell r="CK1107">
            <v>0</v>
          </cell>
          <cell r="CN1107">
            <v>0</v>
          </cell>
          <cell r="CO1107">
            <v>0</v>
          </cell>
          <cell r="CP1107">
            <v>0</v>
          </cell>
          <cell r="CS1107">
            <v>0</v>
          </cell>
          <cell r="CU1107">
            <v>0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B1107">
            <v>0</v>
          </cell>
          <cell r="DC1107">
            <v>0</v>
          </cell>
          <cell r="DD1107">
            <v>0</v>
          </cell>
          <cell r="DE1107">
            <v>0</v>
          </cell>
          <cell r="DF1107">
            <v>0</v>
          </cell>
          <cell r="DG1107">
            <v>0</v>
          </cell>
          <cell r="DH1107">
            <v>0</v>
          </cell>
          <cell r="DL1107">
            <v>0</v>
          </cell>
          <cell r="DM1107">
            <v>0</v>
          </cell>
          <cell r="DO1107">
            <v>0</v>
          </cell>
          <cell r="DQ1107">
            <v>0</v>
          </cell>
          <cell r="DW1107">
            <v>0</v>
          </cell>
          <cell r="DX1107">
            <v>0</v>
          </cell>
          <cell r="DY1107">
            <v>0</v>
          </cell>
          <cell r="DZ1107">
            <v>0</v>
          </cell>
          <cell r="EA1107">
            <v>0</v>
          </cell>
          <cell r="EB1107">
            <v>0</v>
          </cell>
          <cell r="EC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R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BA1108">
            <v>0</v>
          </cell>
          <cell r="BB1108">
            <v>0</v>
          </cell>
          <cell r="BH1108">
            <v>0</v>
          </cell>
          <cell r="BI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  <cell r="BU1108">
            <v>0</v>
          </cell>
          <cell r="BV1108">
            <v>0</v>
          </cell>
          <cell r="BW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H1108">
            <v>0</v>
          </cell>
          <cell r="CI1108">
            <v>0</v>
          </cell>
          <cell r="CJ1108">
            <v>0</v>
          </cell>
          <cell r="CK1108">
            <v>0</v>
          </cell>
          <cell r="CN1108">
            <v>0</v>
          </cell>
          <cell r="CO1108">
            <v>0</v>
          </cell>
          <cell r="CP1108">
            <v>0</v>
          </cell>
          <cell r="CS1108">
            <v>0</v>
          </cell>
          <cell r="CU1108">
            <v>0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B1108">
            <v>0</v>
          </cell>
          <cell r="DC1108">
            <v>0</v>
          </cell>
          <cell r="DD1108">
            <v>0</v>
          </cell>
          <cell r="DE1108">
            <v>0</v>
          </cell>
          <cell r="DF1108">
            <v>0</v>
          </cell>
          <cell r="DG1108">
            <v>0</v>
          </cell>
          <cell r="DH1108">
            <v>0</v>
          </cell>
          <cell r="DL1108">
            <v>0</v>
          </cell>
          <cell r="DM1108">
            <v>0</v>
          </cell>
          <cell r="DO1108">
            <v>0</v>
          </cell>
          <cell r="DQ1108">
            <v>0</v>
          </cell>
          <cell r="DW1108">
            <v>0</v>
          </cell>
          <cell r="DX1108">
            <v>0</v>
          </cell>
          <cell r="DY1108">
            <v>0</v>
          </cell>
          <cell r="DZ1108">
            <v>0</v>
          </cell>
          <cell r="EA1108">
            <v>0</v>
          </cell>
          <cell r="EB1108">
            <v>0</v>
          </cell>
          <cell r="EC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R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BA1109">
            <v>0</v>
          </cell>
          <cell r="BB1109">
            <v>0</v>
          </cell>
          <cell r="BH1109">
            <v>0</v>
          </cell>
          <cell r="BI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  <cell r="BU1109">
            <v>0</v>
          </cell>
          <cell r="BV1109">
            <v>0</v>
          </cell>
          <cell r="BW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H1109">
            <v>0</v>
          </cell>
          <cell r="CI1109">
            <v>0</v>
          </cell>
          <cell r="CJ1109">
            <v>0</v>
          </cell>
          <cell r="CK1109">
            <v>0</v>
          </cell>
          <cell r="CN1109">
            <v>0</v>
          </cell>
          <cell r="CO1109">
            <v>0</v>
          </cell>
          <cell r="CP1109">
            <v>0</v>
          </cell>
          <cell r="CS1109">
            <v>0</v>
          </cell>
          <cell r="CU1109">
            <v>0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B1109">
            <v>0</v>
          </cell>
          <cell r="DC1109">
            <v>0</v>
          </cell>
          <cell r="DD1109">
            <v>0</v>
          </cell>
          <cell r="DE1109">
            <v>0</v>
          </cell>
          <cell r="DF1109">
            <v>0</v>
          </cell>
          <cell r="DG1109">
            <v>0</v>
          </cell>
          <cell r="DH1109">
            <v>0</v>
          </cell>
          <cell r="DL1109">
            <v>0</v>
          </cell>
          <cell r="DM1109">
            <v>0</v>
          </cell>
          <cell r="DO1109">
            <v>0</v>
          </cell>
          <cell r="DQ1109">
            <v>0</v>
          </cell>
          <cell r="DW1109">
            <v>0</v>
          </cell>
          <cell r="DX1109">
            <v>0</v>
          </cell>
          <cell r="DY1109">
            <v>0</v>
          </cell>
          <cell r="DZ1109">
            <v>0</v>
          </cell>
          <cell r="EA1109">
            <v>0</v>
          </cell>
          <cell r="EB1109">
            <v>0</v>
          </cell>
          <cell r="EC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R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BA1110">
            <v>0</v>
          </cell>
          <cell r="BB1110">
            <v>0</v>
          </cell>
          <cell r="BH1110">
            <v>0</v>
          </cell>
          <cell r="BI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  <cell r="BU1110">
            <v>0</v>
          </cell>
          <cell r="BV1110">
            <v>0</v>
          </cell>
          <cell r="BW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H1110">
            <v>0</v>
          </cell>
          <cell r="CI1110">
            <v>0</v>
          </cell>
          <cell r="CJ1110">
            <v>0</v>
          </cell>
          <cell r="CK1110">
            <v>0</v>
          </cell>
          <cell r="CN1110">
            <v>0</v>
          </cell>
          <cell r="CO1110">
            <v>0</v>
          </cell>
          <cell r="CP1110">
            <v>0</v>
          </cell>
          <cell r="CS1110">
            <v>0</v>
          </cell>
          <cell r="CU1110">
            <v>0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B1110">
            <v>0</v>
          </cell>
          <cell r="DC1110">
            <v>0</v>
          </cell>
          <cell r="DD1110">
            <v>0</v>
          </cell>
          <cell r="DE1110">
            <v>0</v>
          </cell>
          <cell r="DF1110">
            <v>0</v>
          </cell>
          <cell r="DG1110">
            <v>0</v>
          </cell>
          <cell r="DH1110">
            <v>0</v>
          </cell>
          <cell r="DL1110">
            <v>0</v>
          </cell>
          <cell r="DM1110">
            <v>0</v>
          </cell>
          <cell r="DO1110">
            <v>0</v>
          </cell>
          <cell r="DQ1110">
            <v>0</v>
          </cell>
          <cell r="DW1110">
            <v>0</v>
          </cell>
          <cell r="DX1110">
            <v>0</v>
          </cell>
          <cell r="DY1110">
            <v>0</v>
          </cell>
          <cell r="DZ1110">
            <v>0</v>
          </cell>
          <cell r="EA1110">
            <v>0</v>
          </cell>
          <cell r="EB1110">
            <v>0</v>
          </cell>
          <cell r="EC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R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BA1111">
            <v>0</v>
          </cell>
          <cell r="BB1111">
            <v>0</v>
          </cell>
          <cell r="BH1111">
            <v>0</v>
          </cell>
          <cell r="BI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  <cell r="BU1111">
            <v>0</v>
          </cell>
          <cell r="BV1111">
            <v>0</v>
          </cell>
          <cell r="BW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H1111">
            <v>0</v>
          </cell>
          <cell r="CI1111">
            <v>0</v>
          </cell>
          <cell r="CJ1111">
            <v>0</v>
          </cell>
          <cell r="CK1111">
            <v>0</v>
          </cell>
          <cell r="CN1111">
            <v>0</v>
          </cell>
          <cell r="CO1111">
            <v>0</v>
          </cell>
          <cell r="CP1111">
            <v>0</v>
          </cell>
          <cell r="CS1111">
            <v>0</v>
          </cell>
          <cell r="CU1111">
            <v>0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B1111">
            <v>0</v>
          </cell>
          <cell r="DC1111">
            <v>0</v>
          </cell>
          <cell r="DD1111">
            <v>0</v>
          </cell>
          <cell r="DE1111">
            <v>0</v>
          </cell>
          <cell r="DF1111">
            <v>0</v>
          </cell>
          <cell r="DG1111">
            <v>0</v>
          </cell>
          <cell r="DH1111">
            <v>0</v>
          </cell>
          <cell r="DL1111">
            <v>0</v>
          </cell>
          <cell r="DM1111">
            <v>0</v>
          </cell>
          <cell r="DO1111">
            <v>0</v>
          </cell>
          <cell r="DQ1111">
            <v>0</v>
          </cell>
          <cell r="DW1111">
            <v>0</v>
          </cell>
          <cell r="DX1111">
            <v>0</v>
          </cell>
          <cell r="DY1111">
            <v>0</v>
          </cell>
          <cell r="DZ1111">
            <v>0</v>
          </cell>
          <cell r="EA1111">
            <v>0</v>
          </cell>
          <cell r="EB1111">
            <v>0</v>
          </cell>
          <cell r="EC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R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BA1112">
            <v>0</v>
          </cell>
          <cell r="BB1112">
            <v>0</v>
          </cell>
          <cell r="BH1112">
            <v>0</v>
          </cell>
          <cell r="BI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U1112">
            <v>0</v>
          </cell>
          <cell r="BV1112">
            <v>0</v>
          </cell>
          <cell r="BW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H1112">
            <v>0</v>
          </cell>
          <cell r="CI1112">
            <v>0</v>
          </cell>
          <cell r="CJ1112">
            <v>0</v>
          </cell>
          <cell r="CK1112">
            <v>0</v>
          </cell>
          <cell r="CN1112">
            <v>0</v>
          </cell>
          <cell r="CO1112">
            <v>0</v>
          </cell>
          <cell r="CP1112">
            <v>0</v>
          </cell>
          <cell r="CS1112">
            <v>0</v>
          </cell>
          <cell r="CU1112">
            <v>0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B1112">
            <v>0</v>
          </cell>
          <cell r="DC1112">
            <v>0</v>
          </cell>
          <cell r="DD1112">
            <v>0</v>
          </cell>
          <cell r="DE1112">
            <v>0</v>
          </cell>
          <cell r="DF1112">
            <v>0</v>
          </cell>
          <cell r="DG1112">
            <v>0</v>
          </cell>
          <cell r="DH1112">
            <v>0</v>
          </cell>
          <cell r="DL1112">
            <v>0</v>
          </cell>
          <cell r="DM1112">
            <v>0</v>
          </cell>
          <cell r="DO1112">
            <v>0</v>
          </cell>
          <cell r="DQ1112">
            <v>0</v>
          </cell>
          <cell r="DW1112">
            <v>0</v>
          </cell>
          <cell r="DX1112">
            <v>0</v>
          </cell>
          <cell r="DY1112">
            <v>0</v>
          </cell>
          <cell r="DZ1112">
            <v>0</v>
          </cell>
          <cell r="EA1112">
            <v>0</v>
          </cell>
          <cell r="EB1112">
            <v>0</v>
          </cell>
          <cell r="EC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R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BA1113">
            <v>0</v>
          </cell>
          <cell r="BB1113">
            <v>0</v>
          </cell>
          <cell r="BH1113">
            <v>0</v>
          </cell>
          <cell r="BI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  <cell r="BU1113">
            <v>0</v>
          </cell>
          <cell r="BV1113">
            <v>0</v>
          </cell>
          <cell r="BW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H1113">
            <v>0</v>
          </cell>
          <cell r="CI1113">
            <v>0</v>
          </cell>
          <cell r="CJ1113">
            <v>0</v>
          </cell>
          <cell r="CK1113">
            <v>0</v>
          </cell>
          <cell r="CN1113">
            <v>0</v>
          </cell>
          <cell r="CO1113">
            <v>0</v>
          </cell>
          <cell r="CP1113">
            <v>0</v>
          </cell>
          <cell r="CS1113">
            <v>0</v>
          </cell>
          <cell r="CU1113">
            <v>0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B1113">
            <v>0</v>
          </cell>
          <cell r="DC1113">
            <v>0</v>
          </cell>
          <cell r="DD1113">
            <v>0</v>
          </cell>
          <cell r="DE1113">
            <v>0</v>
          </cell>
          <cell r="DF1113">
            <v>0</v>
          </cell>
          <cell r="DG1113">
            <v>0</v>
          </cell>
          <cell r="DH1113">
            <v>0</v>
          </cell>
          <cell r="DL1113">
            <v>0</v>
          </cell>
          <cell r="DM1113">
            <v>0</v>
          </cell>
          <cell r="DO1113">
            <v>0</v>
          </cell>
          <cell r="DQ1113">
            <v>0</v>
          </cell>
          <cell r="DW1113">
            <v>0</v>
          </cell>
          <cell r="DX1113">
            <v>0</v>
          </cell>
          <cell r="DY1113">
            <v>0</v>
          </cell>
          <cell r="DZ1113">
            <v>0</v>
          </cell>
          <cell r="EA1113">
            <v>0</v>
          </cell>
          <cell r="EB1113">
            <v>0</v>
          </cell>
          <cell r="EC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R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BA1114">
            <v>0</v>
          </cell>
          <cell r="BB1114">
            <v>0</v>
          </cell>
          <cell r="BH1114">
            <v>0</v>
          </cell>
          <cell r="BI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  <cell r="BU1114">
            <v>0</v>
          </cell>
          <cell r="BV1114">
            <v>0</v>
          </cell>
          <cell r="BW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H1114">
            <v>0</v>
          </cell>
          <cell r="CI1114">
            <v>0</v>
          </cell>
          <cell r="CJ1114">
            <v>0</v>
          </cell>
          <cell r="CK1114">
            <v>0</v>
          </cell>
          <cell r="CN1114">
            <v>0</v>
          </cell>
          <cell r="CO1114">
            <v>0</v>
          </cell>
          <cell r="CP1114">
            <v>0</v>
          </cell>
          <cell r="CS1114">
            <v>0</v>
          </cell>
          <cell r="CU1114">
            <v>0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B1114">
            <v>0</v>
          </cell>
          <cell r="DC1114">
            <v>0</v>
          </cell>
          <cell r="DD1114">
            <v>0</v>
          </cell>
          <cell r="DE1114">
            <v>0</v>
          </cell>
          <cell r="DF1114">
            <v>0</v>
          </cell>
          <cell r="DG1114">
            <v>0</v>
          </cell>
          <cell r="DH1114">
            <v>0</v>
          </cell>
          <cell r="DL1114">
            <v>0</v>
          </cell>
          <cell r="DM1114">
            <v>0</v>
          </cell>
          <cell r="DO1114">
            <v>0</v>
          </cell>
          <cell r="DQ1114">
            <v>0</v>
          </cell>
          <cell r="DW1114">
            <v>0</v>
          </cell>
          <cell r="DX1114">
            <v>0</v>
          </cell>
          <cell r="DY1114">
            <v>0</v>
          </cell>
          <cell r="DZ1114">
            <v>0</v>
          </cell>
          <cell r="EA1114">
            <v>0</v>
          </cell>
          <cell r="EB1114">
            <v>0</v>
          </cell>
          <cell r="EC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R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BA1115">
            <v>0</v>
          </cell>
          <cell r="BB1115">
            <v>0</v>
          </cell>
          <cell r="BH1115">
            <v>0</v>
          </cell>
          <cell r="BI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  <cell r="BU1115">
            <v>0</v>
          </cell>
          <cell r="BV1115">
            <v>0</v>
          </cell>
          <cell r="BW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H1115">
            <v>0</v>
          </cell>
          <cell r="CI1115">
            <v>0</v>
          </cell>
          <cell r="CJ1115">
            <v>0</v>
          </cell>
          <cell r="CK1115">
            <v>0</v>
          </cell>
          <cell r="CN1115">
            <v>0</v>
          </cell>
          <cell r="CO1115">
            <v>0</v>
          </cell>
          <cell r="CP1115">
            <v>0</v>
          </cell>
          <cell r="CS1115">
            <v>0</v>
          </cell>
          <cell r="CU1115">
            <v>0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B1115">
            <v>0</v>
          </cell>
          <cell r="DC1115">
            <v>0</v>
          </cell>
          <cell r="DD1115">
            <v>0</v>
          </cell>
          <cell r="DE1115">
            <v>0</v>
          </cell>
          <cell r="DF1115">
            <v>0</v>
          </cell>
          <cell r="DG1115">
            <v>0</v>
          </cell>
          <cell r="DH1115">
            <v>0</v>
          </cell>
          <cell r="DL1115">
            <v>0</v>
          </cell>
          <cell r="DM1115">
            <v>0</v>
          </cell>
          <cell r="DO1115">
            <v>0</v>
          </cell>
          <cell r="DQ1115">
            <v>0</v>
          </cell>
          <cell r="DW1115">
            <v>0</v>
          </cell>
          <cell r="DX1115">
            <v>0</v>
          </cell>
          <cell r="DY1115">
            <v>0</v>
          </cell>
          <cell r="DZ1115">
            <v>0</v>
          </cell>
          <cell r="EA1115">
            <v>0</v>
          </cell>
          <cell r="EB1115">
            <v>0</v>
          </cell>
          <cell r="EC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R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BA1116">
            <v>0</v>
          </cell>
          <cell r="BB1116">
            <v>0</v>
          </cell>
          <cell r="BH1116">
            <v>0</v>
          </cell>
          <cell r="BI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U1116">
            <v>0</v>
          </cell>
          <cell r="BV1116">
            <v>0</v>
          </cell>
          <cell r="BW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0</v>
          </cell>
          <cell r="CD1116">
            <v>0</v>
          </cell>
          <cell r="CE1116">
            <v>0</v>
          </cell>
          <cell r="CH1116">
            <v>0</v>
          </cell>
          <cell r="CI1116">
            <v>0</v>
          </cell>
          <cell r="CJ1116">
            <v>0</v>
          </cell>
          <cell r="CK1116">
            <v>0</v>
          </cell>
          <cell r="CN1116">
            <v>0</v>
          </cell>
          <cell r="CO1116">
            <v>0</v>
          </cell>
          <cell r="CP1116">
            <v>0</v>
          </cell>
          <cell r="CS1116">
            <v>0</v>
          </cell>
          <cell r="CU1116">
            <v>0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B1116">
            <v>0</v>
          </cell>
          <cell r="DC1116">
            <v>0</v>
          </cell>
          <cell r="DD1116">
            <v>0</v>
          </cell>
          <cell r="DE1116">
            <v>0</v>
          </cell>
          <cell r="DF1116">
            <v>0</v>
          </cell>
          <cell r="DG1116">
            <v>0</v>
          </cell>
          <cell r="DH1116">
            <v>0</v>
          </cell>
          <cell r="DL1116">
            <v>0</v>
          </cell>
          <cell r="DM1116">
            <v>0</v>
          </cell>
          <cell r="DO1116">
            <v>0</v>
          </cell>
          <cell r="DQ1116">
            <v>0</v>
          </cell>
          <cell r="DW1116">
            <v>0</v>
          </cell>
          <cell r="DX1116">
            <v>0</v>
          </cell>
          <cell r="DY1116">
            <v>0</v>
          </cell>
          <cell r="DZ1116">
            <v>0</v>
          </cell>
          <cell r="EA1116">
            <v>0</v>
          </cell>
          <cell r="EB1116">
            <v>0</v>
          </cell>
          <cell r="EC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R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BA1117">
            <v>0</v>
          </cell>
          <cell r="BB1117">
            <v>0</v>
          </cell>
          <cell r="BH1117">
            <v>0</v>
          </cell>
          <cell r="BI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</v>
          </cell>
          <cell r="BR1117">
            <v>0</v>
          </cell>
          <cell r="BS1117">
            <v>0</v>
          </cell>
          <cell r="BU1117">
            <v>0</v>
          </cell>
          <cell r="BV1117">
            <v>0</v>
          </cell>
          <cell r="BW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0</v>
          </cell>
          <cell r="CD1117">
            <v>0</v>
          </cell>
          <cell r="CE1117">
            <v>0</v>
          </cell>
          <cell r="CH1117">
            <v>0</v>
          </cell>
          <cell r="CI1117">
            <v>0</v>
          </cell>
          <cell r="CJ1117">
            <v>0</v>
          </cell>
          <cell r="CK1117">
            <v>0</v>
          </cell>
          <cell r="CN1117">
            <v>0</v>
          </cell>
          <cell r="CO1117">
            <v>0</v>
          </cell>
          <cell r="CP1117">
            <v>0</v>
          </cell>
          <cell r="CS1117">
            <v>0</v>
          </cell>
          <cell r="CU1117">
            <v>0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B1117">
            <v>0</v>
          </cell>
          <cell r="DC1117">
            <v>0</v>
          </cell>
          <cell r="DD1117">
            <v>0</v>
          </cell>
          <cell r="DE1117">
            <v>0</v>
          </cell>
          <cell r="DF1117">
            <v>0</v>
          </cell>
          <cell r="DG1117">
            <v>0</v>
          </cell>
          <cell r="DH1117">
            <v>0</v>
          </cell>
          <cell r="DL1117">
            <v>0</v>
          </cell>
          <cell r="DM1117">
            <v>0</v>
          </cell>
          <cell r="DO1117">
            <v>0</v>
          </cell>
          <cell r="DQ1117">
            <v>0</v>
          </cell>
          <cell r="DW1117">
            <v>0</v>
          </cell>
          <cell r="DX1117">
            <v>0</v>
          </cell>
          <cell r="DY1117">
            <v>0</v>
          </cell>
          <cell r="DZ1117">
            <v>0</v>
          </cell>
          <cell r="EA1117">
            <v>0</v>
          </cell>
          <cell r="EB1117">
            <v>0</v>
          </cell>
          <cell r="EC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R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BA1118">
            <v>0</v>
          </cell>
          <cell r="BB1118">
            <v>0</v>
          </cell>
          <cell r="BH1118">
            <v>0</v>
          </cell>
          <cell r="BI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U1118">
            <v>0</v>
          </cell>
          <cell r="BV1118">
            <v>0</v>
          </cell>
          <cell r="BW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0</v>
          </cell>
          <cell r="CD1118">
            <v>0</v>
          </cell>
          <cell r="CE1118">
            <v>0</v>
          </cell>
          <cell r="CH1118">
            <v>0</v>
          </cell>
          <cell r="CI1118">
            <v>0</v>
          </cell>
          <cell r="CJ1118">
            <v>0</v>
          </cell>
          <cell r="CK1118">
            <v>0</v>
          </cell>
          <cell r="CN1118">
            <v>0</v>
          </cell>
          <cell r="CO1118">
            <v>0</v>
          </cell>
          <cell r="CP1118">
            <v>0</v>
          </cell>
          <cell r="CS1118">
            <v>0</v>
          </cell>
          <cell r="CU1118">
            <v>0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B1118">
            <v>0</v>
          </cell>
          <cell r="DC1118">
            <v>0</v>
          </cell>
          <cell r="DD1118">
            <v>0</v>
          </cell>
          <cell r="DE1118">
            <v>0</v>
          </cell>
          <cell r="DF1118">
            <v>0</v>
          </cell>
          <cell r="DG1118">
            <v>0</v>
          </cell>
          <cell r="DH1118">
            <v>0</v>
          </cell>
          <cell r="DL1118">
            <v>0</v>
          </cell>
          <cell r="DM1118">
            <v>0</v>
          </cell>
          <cell r="DO1118">
            <v>0</v>
          </cell>
          <cell r="DQ1118">
            <v>0</v>
          </cell>
          <cell r="DW1118">
            <v>0</v>
          </cell>
          <cell r="DX1118">
            <v>0</v>
          </cell>
          <cell r="DY1118">
            <v>0</v>
          </cell>
          <cell r="DZ1118">
            <v>0</v>
          </cell>
          <cell r="EA1118">
            <v>0</v>
          </cell>
          <cell r="EB1118">
            <v>0</v>
          </cell>
          <cell r="EC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R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BA1119">
            <v>0</v>
          </cell>
          <cell r="BB1119">
            <v>0</v>
          </cell>
          <cell r="BH1119">
            <v>0</v>
          </cell>
          <cell r="BI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U1119">
            <v>0</v>
          </cell>
          <cell r="BV1119">
            <v>0</v>
          </cell>
          <cell r="BW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0</v>
          </cell>
          <cell r="CD1119">
            <v>0</v>
          </cell>
          <cell r="CE1119">
            <v>0</v>
          </cell>
          <cell r="CH1119">
            <v>0</v>
          </cell>
          <cell r="CI1119">
            <v>0</v>
          </cell>
          <cell r="CJ1119">
            <v>0</v>
          </cell>
          <cell r="CK1119">
            <v>0</v>
          </cell>
          <cell r="CN1119">
            <v>0</v>
          </cell>
          <cell r="CO1119">
            <v>0</v>
          </cell>
          <cell r="CP1119">
            <v>0</v>
          </cell>
          <cell r="CS1119">
            <v>0</v>
          </cell>
          <cell r="CU1119">
            <v>0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B1119">
            <v>0</v>
          </cell>
          <cell r="DC1119">
            <v>0</v>
          </cell>
          <cell r="DD1119">
            <v>0</v>
          </cell>
          <cell r="DE1119">
            <v>0</v>
          </cell>
          <cell r="DF1119">
            <v>0</v>
          </cell>
          <cell r="DG1119">
            <v>0</v>
          </cell>
          <cell r="DH1119">
            <v>0</v>
          </cell>
          <cell r="DL1119">
            <v>0</v>
          </cell>
          <cell r="DM1119">
            <v>0</v>
          </cell>
          <cell r="DO1119">
            <v>0</v>
          </cell>
          <cell r="DQ1119">
            <v>0</v>
          </cell>
          <cell r="DW1119">
            <v>0</v>
          </cell>
          <cell r="DX1119">
            <v>0</v>
          </cell>
          <cell r="DY1119">
            <v>0</v>
          </cell>
          <cell r="DZ1119">
            <v>0</v>
          </cell>
          <cell r="EA1119">
            <v>0</v>
          </cell>
          <cell r="EB1119">
            <v>0</v>
          </cell>
          <cell r="EC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R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BA1120">
            <v>0</v>
          </cell>
          <cell r="BB1120">
            <v>0</v>
          </cell>
          <cell r="BH1120">
            <v>0</v>
          </cell>
          <cell r="BI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U1120">
            <v>0</v>
          </cell>
          <cell r="BV1120">
            <v>0</v>
          </cell>
          <cell r="BW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0</v>
          </cell>
          <cell r="CD1120">
            <v>0</v>
          </cell>
          <cell r="CE1120">
            <v>0</v>
          </cell>
          <cell r="CH1120">
            <v>0</v>
          </cell>
          <cell r="CI1120">
            <v>0</v>
          </cell>
          <cell r="CJ1120">
            <v>0</v>
          </cell>
          <cell r="CK1120">
            <v>0</v>
          </cell>
          <cell r="CN1120">
            <v>0</v>
          </cell>
          <cell r="CO1120">
            <v>0</v>
          </cell>
          <cell r="CP1120">
            <v>0</v>
          </cell>
          <cell r="CS1120">
            <v>0</v>
          </cell>
          <cell r="CU1120">
            <v>0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B1120">
            <v>0</v>
          </cell>
          <cell r="DC1120">
            <v>0</v>
          </cell>
          <cell r="DD1120">
            <v>0</v>
          </cell>
          <cell r="DE1120">
            <v>0</v>
          </cell>
          <cell r="DF1120">
            <v>0</v>
          </cell>
          <cell r="DG1120">
            <v>0</v>
          </cell>
          <cell r="DH1120">
            <v>0</v>
          </cell>
          <cell r="DL1120">
            <v>0</v>
          </cell>
          <cell r="DM1120">
            <v>0</v>
          </cell>
          <cell r="DO1120">
            <v>0</v>
          </cell>
          <cell r="DQ1120">
            <v>0</v>
          </cell>
          <cell r="DW1120">
            <v>0</v>
          </cell>
          <cell r="DX1120">
            <v>0</v>
          </cell>
          <cell r="DY1120">
            <v>0</v>
          </cell>
          <cell r="DZ1120">
            <v>0</v>
          </cell>
          <cell r="EA1120">
            <v>0</v>
          </cell>
          <cell r="EB1120">
            <v>0</v>
          </cell>
          <cell r="EC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R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BA1121">
            <v>0</v>
          </cell>
          <cell r="BB1121">
            <v>0</v>
          </cell>
          <cell r="BH1121">
            <v>0</v>
          </cell>
          <cell r="BI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U1121">
            <v>0</v>
          </cell>
          <cell r="BV1121">
            <v>0</v>
          </cell>
          <cell r="BW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0</v>
          </cell>
          <cell r="CD1121">
            <v>0</v>
          </cell>
          <cell r="CE1121">
            <v>0</v>
          </cell>
          <cell r="CH1121">
            <v>0</v>
          </cell>
          <cell r="CI1121">
            <v>0</v>
          </cell>
          <cell r="CJ1121">
            <v>0</v>
          </cell>
          <cell r="CK1121">
            <v>0</v>
          </cell>
          <cell r="CN1121">
            <v>0</v>
          </cell>
          <cell r="CO1121">
            <v>0</v>
          </cell>
          <cell r="CP1121">
            <v>0</v>
          </cell>
          <cell r="CS1121">
            <v>0</v>
          </cell>
          <cell r="CU1121">
            <v>0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B1121">
            <v>0</v>
          </cell>
          <cell r="DC1121">
            <v>0</v>
          </cell>
          <cell r="DD1121">
            <v>0</v>
          </cell>
          <cell r="DE1121">
            <v>0</v>
          </cell>
          <cell r="DF1121">
            <v>0</v>
          </cell>
          <cell r="DG1121">
            <v>0</v>
          </cell>
          <cell r="DH1121">
            <v>0</v>
          </cell>
          <cell r="DL1121">
            <v>0</v>
          </cell>
          <cell r="DM1121">
            <v>0</v>
          </cell>
          <cell r="DO1121">
            <v>0</v>
          </cell>
          <cell r="DQ1121">
            <v>0</v>
          </cell>
          <cell r="DW1121">
            <v>0</v>
          </cell>
          <cell r="DX1121">
            <v>0</v>
          </cell>
          <cell r="DY1121">
            <v>0</v>
          </cell>
          <cell r="DZ1121">
            <v>0</v>
          </cell>
          <cell r="EA1121">
            <v>0</v>
          </cell>
          <cell r="EB1121">
            <v>0</v>
          </cell>
          <cell r="EC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R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BA1122">
            <v>0</v>
          </cell>
          <cell r="BB1122">
            <v>0</v>
          </cell>
          <cell r="BH1122">
            <v>0</v>
          </cell>
          <cell r="BI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  <cell r="BU1122">
            <v>0</v>
          </cell>
          <cell r="BV1122">
            <v>0</v>
          </cell>
          <cell r="BW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0</v>
          </cell>
          <cell r="CD1122">
            <v>0</v>
          </cell>
          <cell r="CE1122">
            <v>0</v>
          </cell>
          <cell r="CH1122">
            <v>0</v>
          </cell>
          <cell r="CI1122">
            <v>0</v>
          </cell>
          <cell r="CJ1122">
            <v>0</v>
          </cell>
          <cell r="CK1122">
            <v>0</v>
          </cell>
          <cell r="CN1122">
            <v>0</v>
          </cell>
          <cell r="CO1122">
            <v>0</v>
          </cell>
          <cell r="CP1122">
            <v>0</v>
          </cell>
          <cell r="CS1122">
            <v>0</v>
          </cell>
          <cell r="CU1122">
            <v>0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B1122">
            <v>0</v>
          </cell>
          <cell r="DC1122">
            <v>0</v>
          </cell>
          <cell r="DD1122">
            <v>0</v>
          </cell>
          <cell r="DE1122">
            <v>0</v>
          </cell>
          <cell r="DF1122">
            <v>0</v>
          </cell>
          <cell r="DG1122">
            <v>0</v>
          </cell>
          <cell r="DH1122">
            <v>0</v>
          </cell>
          <cell r="DL1122">
            <v>0</v>
          </cell>
          <cell r="DM1122">
            <v>0</v>
          </cell>
          <cell r="DO1122">
            <v>0</v>
          </cell>
          <cell r="DQ1122">
            <v>0</v>
          </cell>
          <cell r="DW1122">
            <v>0</v>
          </cell>
          <cell r="DX1122">
            <v>0</v>
          </cell>
          <cell r="DY1122">
            <v>0</v>
          </cell>
          <cell r="DZ1122">
            <v>0</v>
          </cell>
          <cell r="EA1122">
            <v>0</v>
          </cell>
          <cell r="EB1122">
            <v>0</v>
          </cell>
          <cell r="EC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R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BA1123">
            <v>0</v>
          </cell>
          <cell r="BB1123">
            <v>0</v>
          </cell>
          <cell r="BH1123">
            <v>0</v>
          </cell>
          <cell r="BI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U1123">
            <v>0</v>
          </cell>
          <cell r="BV1123">
            <v>0</v>
          </cell>
          <cell r="BW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0</v>
          </cell>
          <cell r="CD1123">
            <v>0</v>
          </cell>
          <cell r="CE1123">
            <v>0</v>
          </cell>
          <cell r="CH1123">
            <v>0</v>
          </cell>
          <cell r="CI1123">
            <v>0</v>
          </cell>
          <cell r="CJ1123">
            <v>0</v>
          </cell>
          <cell r="CK1123">
            <v>0</v>
          </cell>
          <cell r="CN1123">
            <v>0</v>
          </cell>
          <cell r="CO1123">
            <v>0</v>
          </cell>
          <cell r="CP1123">
            <v>0</v>
          </cell>
          <cell r="CS1123">
            <v>0</v>
          </cell>
          <cell r="CU1123">
            <v>0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B1123">
            <v>0</v>
          </cell>
          <cell r="DC1123">
            <v>0</v>
          </cell>
          <cell r="DD1123">
            <v>0</v>
          </cell>
          <cell r="DE1123">
            <v>0</v>
          </cell>
          <cell r="DF1123">
            <v>0</v>
          </cell>
          <cell r="DG1123">
            <v>0</v>
          </cell>
          <cell r="DH1123">
            <v>0</v>
          </cell>
          <cell r="DL1123">
            <v>0</v>
          </cell>
          <cell r="DM1123">
            <v>0</v>
          </cell>
          <cell r="DO1123">
            <v>0</v>
          </cell>
          <cell r="DQ1123">
            <v>0</v>
          </cell>
          <cell r="DW1123">
            <v>0</v>
          </cell>
          <cell r="DX1123">
            <v>0</v>
          </cell>
          <cell r="DY1123">
            <v>0</v>
          </cell>
          <cell r="DZ1123">
            <v>0</v>
          </cell>
          <cell r="EA1123">
            <v>0</v>
          </cell>
          <cell r="EB1123">
            <v>0</v>
          </cell>
          <cell r="EC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R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BA1124">
            <v>0</v>
          </cell>
          <cell r="BB1124">
            <v>0</v>
          </cell>
          <cell r="BH1124">
            <v>0</v>
          </cell>
          <cell r="BI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U1124">
            <v>0</v>
          </cell>
          <cell r="BV1124">
            <v>0</v>
          </cell>
          <cell r="BW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0</v>
          </cell>
          <cell r="CD1124">
            <v>0</v>
          </cell>
          <cell r="CE1124">
            <v>0</v>
          </cell>
          <cell r="CH1124">
            <v>0</v>
          </cell>
          <cell r="CI1124">
            <v>0</v>
          </cell>
          <cell r="CJ1124">
            <v>0</v>
          </cell>
          <cell r="CK1124">
            <v>0</v>
          </cell>
          <cell r="CN1124">
            <v>0</v>
          </cell>
          <cell r="CO1124">
            <v>0</v>
          </cell>
          <cell r="CP1124">
            <v>0</v>
          </cell>
          <cell r="CS1124">
            <v>0</v>
          </cell>
          <cell r="CU1124">
            <v>0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B1124">
            <v>0</v>
          </cell>
          <cell r="DC1124">
            <v>0</v>
          </cell>
          <cell r="DD1124">
            <v>0</v>
          </cell>
          <cell r="DE1124">
            <v>0</v>
          </cell>
          <cell r="DF1124">
            <v>0</v>
          </cell>
          <cell r="DG1124">
            <v>0</v>
          </cell>
          <cell r="DH1124">
            <v>0</v>
          </cell>
          <cell r="DL1124">
            <v>0</v>
          </cell>
          <cell r="DM1124">
            <v>0</v>
          </cell>
          <cell r="DO1124">
            <v>0</v>
          </cell>
          <cell r="DQ1124">
            <v>0</v>
          </cell>
          <cell r="DW1124">
            <v>0</v>
          </cell>
          <cell r="DX1124">
            <v>0</v>
          </cell>
          <cell r="DY1124">
            <v>0</v>
          </cell>
          <cell r="DZ1124">
            <v>0</v>
          </cell>
          <cell r="EA1124">
            <v>0</v>
          </cell>
          <cell r="EB1124">
            <v>0</v>
          </cell>
          <cell r="EC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R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BA1125">
            <v>0</v>
          </cell>
          <cell r="BB1125">
            <v>0</v>
          </cell>
          <cell r="BH1125">
            <v>0</v>
          </cell>
          <cell r="BI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U1125">
            <v>0</v>
          </cell>
          <cell r="BV1125">
            <v>0</v>
          </cell>
          <cell r="BW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0</v>
          </cell>
          <cell r="CD1125">
            <v>0</v>
          </cell>
          <cell r="CE1125">
            <v>0</v>
          </cell>
          <cell r="CH1125">
            <v>0</v>
          </cell>
          <cell r="CI1125">
            <v>0</v>
          </cell>
          <cell r="CJ1125">
            <v>0</v>
          </cell>
          <cell r="CK1125">
            <v>0</v>
          </cell>
          <cell r="CN1125">
            <v>0</v>
          </cell>
          <cell r="CO1125">
            <v>0</v>
          </cell>
          <cell r="CP1125">
            <v>0</v>
          </cell>
          <cell r="CS1125">
            <v>0</v>
          </cell>
          <cell r="CU1125">
            <v>0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B1125">
            <v>0</v>
          </cell>
          <cell r="DC1125">
            <v>0</v>
          </cell>
          <cell r="DD1125">
            <v>0</v>
          </cell>
          <cell r="DE1125">
            <v>0</v>
          </cell>
          <cell r="DF1125">
            <v>0</v>
          </cell>
          <cell r="DG1125">
            <v>0</v>
          </cell>
          <cell r="DH1125">
            <v>0</v>
          </cell>
          <cell r="DL1125">
            <v>0</v>
          </cell>
          <cell r="DM1125">
            <v>0</v>
          </cell>
          <cell r="DO1125">
            <v>0</v>
          </cell>
          <cell r="DQ1125">
            <v>0</v>
          </cell>
          <cell r="DW1125">
            <v>0</v>
          </cell>
          <cell r="DX1125">
            <v>0</v>
          </cell>
          <cell r="DY1125">
            <v>0</v>
          </cell>
          <cell r="DZ1125">
            <v>0</v>
          </cell>
          <cell r="EA1125">
            <v>0</v>
          </cell>
          <cell r="EB1125">
            <v>0</v>
          </cell>
          <cell r="EC1125">
            <v>0</v>
          </cell>
        </row>
      </sheetData>
      <sheetData sheetId="1"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E9">
            <v>0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6</v>
          </cell>
          <cell r="J22">
            <v>6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W22">
            <v>0</v>
          </cell>
          <cell r="X22">
            <v>6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Q23">
            <v>7</v>
          </cell>
          <cell r="R23">
            <v>8</v>
          </cell>
          <cell r="S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E30">
            <v>2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</v>
          </cell>
          <cell r="J31">
            <v>1</v>
          </cell>
          <cell r="K31">
            <v>1</v>
          </cell>
          <cell r="L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W31">
            <v>0</v>
          </cell>
          <cell r="X31">
            <v>1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2</v>
          </cell>
          <cell r="J33">
            <v>2</v>
          </cell>
          <cell r="K33">
            <v>2</v>
          </cell>
          <cell r="L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W33">
            <v>0</v>
          </cell>
          <cell r="X33">
            <v>2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W34">
            <v>0</v>
          </cell>
          <cell r="X34">
            <v>2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P40">
            <v>0</v>
          </cell>
          <cell r="Q40">
            <v>1</v>
          </cell>
          <cell r="R40">
            <v>1</v>
          </cell>
          <cell r="S40">
            <v>1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N42">
            <v>0</v>
          </cell>
          <cell r="O42">
            <v>0</v>
          </cell>
          <cell r="P42">
            <v>0</v>
          </cell>
          <cell r="Q42">
            <v>6</v>
          </cell>
          <cell r="R42">
            <v>6</v>
          </cell>
          <cell r="S42">
            <v>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E43">
            <v>1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C44">
            <v>1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N44">
            <v>1</v>
          </cell>
          <cell r="O44">
            <v>1</v>
          </cell>
          <cell r="P44">
            <v>1</v>
          </cell>
          <cell r="Q44">
            <v>0</v>
          </cell>
          <cell r="R44">
            <v>0</v>
          </cell>
          <cell r="S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E44">
            <v>1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C45">
            <v>1</v>
          </cell>
          <cell r="D45">
            <v>1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N45">
            <v>0</v>
          </cell>
          <cell r="O45">
            <v>0</v>
          </cell>
          <cell r="P45">
            <v>1</v>
          </cell>
          <cell r="Q45">
            <v>0</v>
          </cell>
          <cell r="R45">
            <v>0</v>
          </cell>
          <cell r="S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E45">
            <v>0</v>
          </cell>
          <cell r="AF45">
            <v>1</v>
          </cell>
          <cell r="AG45">
            <v>0</v>
          </cell>
          <cell r="AH45">
            <v>0</v>
          </cell>
          <cell r="AI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E47">
            <v>1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C49">
            <v>2</v>
          </cell>
          <cell r="D49">
            <v>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N49">
            <v>0</v>
          </cell>
          <cell r="O49">
            <v>0</v>
          </cell>
          <cell r="P49">
            <v>2</v>
          </cell>
          <cell r="Q49">
            <v>0</v>
          </cell>
          <cell r="R49">
            <v>0</v>
          </cell>
          <cell r="S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1</v>
          </cell>
          <cell r="AI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C56">
            <v>2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N56">
            <v>0</v>
          </cell>
          <cell r="O56">
            <v>0</v>
          </cell>
          <cell r="P56">
            <v>2</v>
          </cell>
          <cell r="Q56">
            <v>0</v>
          </cell>
          <cell r="R56">
            <v>0</v>
          </cell>
          <cell r="S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W59">
            <v>0</v>
          </cell>
          <cell r="X59">
            <v>0</v>
          </cell>
          <cell r="Y59">
            <v>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1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W77">
            <v>0</v>
          </cell>
          <cell r="X77">
            <v>0</v>
          </cell>
          <cell r="Y77">
            <v>0</v>
          </cell>
          <cell r="Z77">
            <v>1</v>
          </cell>
          <cell r="AA77">
            <v>1</v>
          </cell>
          <cell r="AB77">
            <v>0</v>
          </cell>
          <cell r="AC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1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W78">
            <v>0</v>
          </cell>
          <cell r="X78">
            <v>0</v>
          </cell>
          <cell r="Y78">
            <v>0</v>
          </cell>
          <cell r="Z78">
            <v>3</v>
          </cell>
          <cell r="AA78">
            <v>3</v>
          </cell>
          <cell r="AB78">
            <v>0</v>
          </cell>
          <cell r="AC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W79">
            <v>0</v>
          </cell>
          <cell r="X79">
            <v>0</v>
          </cell>
          <cell r="Y79">
            <v>0</v>
          </cell>
          <cell r="Z79">
            <v>1</v>
          </cell>
          <cell r="AA79">
            <v>1</v>
          </cell>
          <cell r="AB79">
            <v>0</v>
          </cell>
          <cell r="AC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1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1</v>
          </cell>
          <cell r="AI81">
            <v>2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W82">
            <v>0</v>
          </cell>
          <cell r="X82">
            <v>0</v>
          </cell>
          <cell r="Y82">
            <v>0</v>
          </cell>
          <cell r="Z82">
            <v>1</v>
          </cell>
          <cell r="AA82">
            <v>1</v>
          </cell>
          <cell r="AB82">
            <v>0</v>
          </cell>
          <cell r="AC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1</v>
          </cell>
          <cell r="S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C86">
            <v>0</v>
          </cell>
          <cell r="D86">
            <v>0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1</v>
          </cell>
          <cell r="AI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>
            <v>2</v>
          </cell>
          <cell r="S89">
            <v>2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C90">
            <v>2</v>
          </cell>
          <cell r="D90">
            <v>4</v>
          </cell>
          <cell r="E90">
            <v>0</v>
          </cell>
          <cell r="F90">
            <v>1</v>
          </cell>
          <cell r="G90">
            <v>0</v>
          </cell>
          <cell r="H90">
            <v>2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N90">
            <v>3</v>
          </cell>
          <cell r="O90">
            <v>2</v>
          </cell>
          <cell r="P90">
            <v>2</v>
          </cell>
          <cell r="Q90">
            <v>6</v>
          </cell>
          <cell r="R90">
            <v>6</v>
          </cell>
          <cell r="S90">
            <v>6</v>
          </cell>
          <cell r="W90">
            <v>2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1</v>
          </cell>
          <cell r="AC90">
            <v>1</v>
          </cell>
          <cell r="AE90">
            <v>0</v>
          </cell>
          <cell r="AF90">
            <v>0</v>
          </cell>
          <cell r="AG90">
            <v>0</v>
          </cell>
          <cell r="AH90">
            <v>1</v>
          </cell>
          <cell r="AI90">
            <v>0</v>
          </cell>
        </row>
        <row r="91">
          <cell r="C91">
            <v>2</v>
          </cell>
          <cell r="D91">
            <v>2</v>
          </cell>
          <cell r="E91">
            <v>0</v>
          </cell>
          <cell r="F91">
            <v>2</v>
          </cell>
          <cell r="G91">
            <v>2</v>
          </cell>
          <cell r="H91">
            <v>2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N91">
            <v>2</v>
          </cell>
          <cell r="O91">
            <v>2</v>
          </cell>
          <cell r="P91">
            <v>2</v>
          </cell>
          <cell r="Q91">
            <v>1</v>
          </cell>
          <cell r="R91">
            <v>1</v>
          </cell>
          <cell r="S91">
            <v>1</v>
          </cell>
          <cell r="W91">
            <v>2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1</v>
          </cell>
          <cell r="AC91">
            <v>1</v>
          </cell>
          <cell r="AE91">
            <v>2</v>
          </cell>
          <cell r="AF91">
            <v>1</v>
          </cell>
          <cell r="AG91">
            <v>2</v>
          </cell>
          <cell r="AH91">
            <v>1</v>
          </cell>
          <cell r="AI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E93">
            <v>1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W94">
            <v>0</v>
          </cell>
          <cell r="X94">
            <v>0</v>
          </cell>
          <cell r="Y94">
            <v>0</v>
          </cell>
          <cell r="Z94">
            <v>3</v>
          </cell>
          <cell r="AA94">
            <v>3</v>
          </cell>
          <cell r="AB94">
            <v>0</v>
          </cell>
          <cell r="AC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E95">
            <v>1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E97">
            <v>1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E98">
            <v>2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5</v>
          </cell>
          <cell r="S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E105">
            <v>2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C106">
            <v>3</v>
          </cell>
          <cell r="D106">
            <v>0</v>
          </cell>
          <cell r="E106">
            <v>0</v>
          </cell>
          <cell r="F106">
            <v>0</v>
          </cell>
          <cell r="G106">
            <v>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N106">
            <v>1</v>
          </cell>
          <cell r="O106">
            <v>4</v>
          </cell>
          <cell r="P106">
            <v>0</v>
          </cell>
          <cell r="Q106">
            <v>4</v>
          </cell>
          <cell r="R106">
            <v>5</v>
          </cell>
          <cell r="S106">
            <v>4</v>
          </cell>
          <cell r="W106">
            <v>3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G106">
            <v>2</v>
          </cell>
          <cell r="AH106">
            <v>0</v>
          </cell>
          <cell r="AI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E107">
            <v>1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N109">
            <v>2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1</v>
          </cell>
          <cell r="AI109">
            <v>0</v>
          </cell>
        </row>
        <row r="110">
          <cell r="C110">
            <v>2</v>
          </cell>
          <cell r="D110">
            <v>0</v>
          </cell>
          <cell r="E110">
            <v>0</v>
          </cell>
          <cell r="F110">
            <v>0</v>
          </cell>
          <cell r="G110">
            <v>2</v>
          </cell>
          <cell r="H110">
            <v>2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N110">
            <v>0</v>
          </cell>
          <cell r="O110">
            <v>0</v>
          </cell>
          <cell r="P110">
            <v>2</v>
          </cell>
          <cell r="Q110">
            <v>0</v>
          </cell>
          <cell r="R110">
            <v>0</v>
          </cell>
          <cell r="S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E110">
            <v>0</v>
          </cell>
          <cell r="AF110">
            <v>1</v>
          </cell>
          <cell r="AG110">
            <v>2</v>
          </cell>
          <cell r="AH110">
            <v>1</v>
          </cell>
          <cell r="AI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E111">
            <v>2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C112">
            <v>0</v>
          </cell>
          <cell r="D112">
            <v>2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N113">
            <v>0</v>
          </cell>
          <cell r="O113">
            <v>2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W113">
            <v>2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2</v>
          </cell>
          <cell r="R114">
            <v>2</v>
          </cell>
          <cell r="S114">
            <v>2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4</v>
          </cell>
        </row>
        <row r="135">
          <cell r="C135">
            <v>2</v>
          </cell>
          <cell r="D135">
            <v>2</v>
          </cell>
          <cell r="E135">
            <v>0</v>
          </cell>
          <cell r="F135">
            <v>0</v>
          </cell>
          <cell r="G135">
            <v>2</v>
          </cell>
          <cell r="H135">
            <v>2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N135">
            <v>2</v>
          </cell>
          <cell r="O135">
            <v>2</v>
          </cell>
          <cell r="P135">
            <v>2</v>
          </cell>
          <cell r="Q135">
            <v>0</v>
          </cell>
          <cell r="R135">
            <v>0</v>
          </cell>
          <cell r="S135">
            <v>0</v>
          </cell>
          <cell r="W135">
            <v>2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E135">
            <v>2</v>
          </cell>
          <cell r="AF135">
            <v>2</v>
          </cell>
          <cell r="AG135">
            <v>2</v>
          </cell>
          <cell r="AH135">
            <v>2</v>
          </cell>
          <cell r="AI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2</v>
          </cell>
          <cell r="R136">
            <v>2</v>
          </cell>
          <cell r="S136">
            <v>2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4</v>
          </cell>
          <cell r="AA148">
            <v>4</v>
          </cell>
          <cell r="AB148">
            <v>0</v>
          </cell>
          <cell r="AC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1</v>
          </cell>
          <cell r="AB171">
            <v>0</v>
          </cell>
          <cell r="AC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W175">
            <v>0</v>
          </cell>
          <cell r="X175">
            <v>0</v>
          </cell>
          <cell r="Y175">
            <v>1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1</v>
          </cell>
          <cell r="R176">
            <v>1</v>
          </cell>
          <cell r="S176">
            <v>1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4</v>
          </cell>
          <cell r="J182">
            <v>4</v>
          </cell>
          <cell r="K182">
            <v>4</v>
          </cell>
          <cell r="L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W184">
            <v>0</v>
          </cell>
          <cell r="X184">
            <v>0</v>
          </cell>
          <cell r="Y184">
            <v>3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3</v>
          </cell>
          <cell r="AA185">
            <v>3</v>
          </cell>
          <cell r="AB185">
            <v>0</v>
          </cell>
          <cell r="AC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2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</v>
          </cell>
          <cell r="AA186">
            <v>2</v>
          </cell>
          <cell r="AB186">
            <v>0</v>
          </cell>
          <cell r="AC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N190">
            <v>0</v>
          </cell>
          <cell r="O190">
            <v>2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1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C210">
            <v>0</v>
          </cell>
          <cell r="D210">
            <v>0</v>
          </cell>
          <cell r="E210">
            <v>1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5</v>
          </cell>
          <cell r="AA211">
            <v>5</v>
          </cell>
          <cell r="AB211">
            <v>0</v>
          </cell>
          <cell r="AC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5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1</v>
          </cell>
          <cell r="AI212">
            <v>2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1</v>
          </cell>
          <cell r="AI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</row>
        <row r="325"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3</v>
          </cell>
          <cell r="AA359">
            <v>3</v>
          </cell>
          <cell r="AB359">
            <v>0</v>
          </cell>
          <cell r="AC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</row>
        <row r="379"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</row>
        <row r="403"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</row>
        <row r="413"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</row>
        <row r="422"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  <row r="429"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</row>
        <row r="431"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</row>
        <row r="464"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</row>
        <row r="474"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</row>
        <row r="483"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</row>
        <row r="484"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</row>
        <row r="485"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</row>
        <row r="486"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</row>
        <row r="494"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</row>
        <row r="497"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</row>
        <row r="500"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</row>
        <row r="501"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</row>
        <row r="502"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</row>
        <row r="503"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</row>
        <row r="505"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</row>
        <row r="515"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3</v>
          </cell>
          <cell r="J517">
            <v>3</v>
          </cell>
          <cell r="K517">
            <v>3</v>
          </cell>
          <cell r="L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W517">
            <v>0</v>
          </cell>
          <cell r="X517">
            <v>3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</row>
        <row r="543"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1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</row>
        <row r="562"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</row>
        <row r="563"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</row>
        <row r="565"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2</v>
          </cell>
          <cell r="AI567">
            <v>2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</row>
        <row r="569"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</row>
        <row r="570"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1</v>
          </cell>
          <cell r="AI573">
            <v>0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1</v>
          </cell>
          <cell r="R574">
            <v>1</v>
          </cell>
          <cell r="S574">
            <v>1</v>
          </cell>
          <cell r="W574">
            <v>0</v>
          </cell>
          <cell r="X574">
            <v>1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5</v>
          </cell>
          <cell r="AI574">
            <v>0</v>
          </cell>
        </row>
        <row r="575"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C577">
            <v>0</v>
          </cell>
          <cell r="D577">
            <v>0</v>
          </cell>
          <cell r="E577">
            <v>0</v>
          </cell>
          <cell r="F577">
            <v>7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1</v>
          </cell>
          <cell r="AC577">
            <v>1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</row>
        <row r="578"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</row>
        <row r="580"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W583">
            <v>0</v>
          </cell>
          <cell r="X583">
            <v>0</v>
          </cell>
          <cell r="Y583">
            <v>2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</row>
        <row r="585"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1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</row>
        <row r="598"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</row>
        <row r="602"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</row>
        <row r="604"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</row>
        <row r="608"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</row>
        <row r="610"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</row>
        <row r="613"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</row>
        <row r="615"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</row>
        <row r="616"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1</v>
          </cell>
          <cell r="AA619">
            <v>1</v>
          </cell>
          <cell r="AB619">
            <v>0</v>
          </cell>
          <cell r="AC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1</v>
          </cell>
          <cell r="AA620">
            <v>1</v>
          </cell>
          <cell r="AB620">
            <v>0</v>
          </cell>
          <cell r="AC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</row>
        <row r="627"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</row>
        <row r="629"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</row>
        <row r="630"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</row>
        <row r="637"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</row>
        <row r="638"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</row>
        <row r="639"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</row>
        <row r="640"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1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</row>
        <row r="641"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</row>
        <row r="642"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</row>
        <row r="643"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W644">
            <v>0</v>
          </cell>
          <cell r="X644">
            <v>0</v>
          </cell>
          <cell r="Y644">
            <v>1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1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</row>
        <row r="646"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E646">
            <v>1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</row>
        <row r="647"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</row>
        <row r="648"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</row>
        <row r="651"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</row>
        <row r="659"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</row>
        <row r="660"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</row>
        <row r="662"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</row>
        <row r="663"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</row>
        <row r="664"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</row>
        <row r="666"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</row>
        <row r="667"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</row>
        <row r="668"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</row>
        <row r="669"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E669">
            <v>0</v>
          </cell>
          <cell r="AF669">
            <v>0</v>
          </cell>
          <cell r="AG669">
            <v>1</v>
          </cell>
          <cell r="AH669">
            <v>0</v>
          </cell>
          <cell r="AI669">
            <v>0</v>
          </cell>
        </row>
        <row r="670"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</row>
        <row r="671"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</row>
        <row r="672"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</row>
        <row r="673"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</row>
        <row r="674"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</row>
        <row r="675"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</row>
        <row r="676"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</row>
        <row r="677"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</row>
        <row r="678"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</row>
        <row r="679"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</row>
        <row r="680"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</row>
        <row r="681"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</row>
        <row r="682"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N682">
            <v>1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</row>
        <row r="683"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</row>
        <row r="684"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</row>
        <row r="685"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</row>
        <row r="686"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</row>
        <row r="687"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</row>
        <row r="688"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</row>
        <row r="689"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</row>
        <row r="690"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</row>
        <row r="692"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</row>
        <row r="694"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W694">
            <v>1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</row>
        <row r="697"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</row>
        <row r="698"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</row>
        <row r="699"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</row>
        <row r="700"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</row>
        <row r="702"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</row>
        <row r="703"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</row>
        <row r="704"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</row>
        <row r="708"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</row>
        <row r="709"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</row>
        <row r="710"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</row>
        <row r="711"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</row>
        <row r="712"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</row>
        <row r="715"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</row>
        <row r="716"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</row>
        <row r="717"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</row>
        <row r="718"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</row>
        <row r="719"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</row>
        <row r="720"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</row>
        <row r="721"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</row>
        <row r="722"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</row>
        <row r="723"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</row>
        <row r="724"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</row>
        <row r="725"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</row>
        <row r="726"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</row>
        <row r="727"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</row>
        <row r="728"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</row>
        <row r="729"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</row>
        <row r="730"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</row>
        <row r="731"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</row>
        <row r="732"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</row>
        <row r="733"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</row>
        <row r="734"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</row>
        <row r="735"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</row>
        <row r="736"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</row>
        <row r="737"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</row>
        <row r="738"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</row>
        <row r="740"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</row>
        <row r="741"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</row>
        <row r="742"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</row>
        <row r="743"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</row>
        <row r="744"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</row>
        <row r="745"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</row>
        <row r="746"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</row>
        <row r="747"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</row>
        <row r="750"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</row>
        <row r="751"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</row>
        <row r="752"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</row>
        <row r="753"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</row>
        <row r="754"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</row>
        <row r="755"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</row>
        <row r="756"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</row>
        <row r="757"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</row>
        <row r="758"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</row>
        <row r="760"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</row>
        <row r="762"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</row>
        <row r="763"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</row>
        <row r="764"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</row>
        <row r="765"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</row>
        <row r="766"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</row>
        <row r="767"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</row>
        <row r="768"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</row>
        <row r="769"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</row>
        <row r="770"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</row>
        <row r="771"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</row>
        <row r="772"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</row>
        <row r="773"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</row>
        <row r="774"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</row>
        <row r="775"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</row>
        <row r="776"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</row>
        <row r="777"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</row>
        <row r="778"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</row>
        <row r="779"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</row>
        <row r="780"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</row>
        <row r="781"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</row>
        <row r="782"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</row>
        <row r="783"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</row>
        <row r="784"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</row>
        <row r="785"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</row>
        <row r="786"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</row>
        <row r="787"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</row>
        <row r="788"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</row>
        <row r="789"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</row>
        <row r="790"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</row>
        <row r="791"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</row>
        <row r="792"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</row>
        <row r="793"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</row>
        <row r="794"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</row>
        <row r="795"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</row>
        <row r="796"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</row>
        <row r="797"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</row>
        <row r="798"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</row>
        <row r="799"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</row>
        <row r="800"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2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</row>
        <row r="801"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</row>
        <row r="802"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</row>
        <row r="808"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</row>
        <row r="817"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</row>
        <row r="818"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2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2</v>
          </cell>
          <cell r="AA818">
            <v>2</v>
          </cell>
          <cell r="AB818">
            <v>0</v>
          </cell>
          <cell r="AC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</row>
        <row r="819"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</row>
        <row r="820"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</row>
        <row r="821"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</row>
        <row r="822"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</row>
        <row r="823"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3</v>
          </cell>
          <cell r="AA823">
            <v>3</v>
          </cell>
          <cell r="AB823">
            <v>0</v>
          </cell>
          <cell r="AC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</row>
        <row r="824"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</row>
        <row r="825"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</row>
        <row r="826"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</row>
        <row r="827"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</row>
        <row r="828"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</row>
        <row r="829"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</row>
        <row r="830"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</row>
        <row r="831"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</row>
        <row r="832"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</row>
        <row r="833"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</row>
        <row r="834"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</row>
        <row r="835"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</row>
        <row r="836"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</row>
        <row r="838"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</row>
        <row r="839"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</row>
        <row r="840"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</row>
        <row r="841"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</row>
        <row r="845"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</row>
        <row r="846"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</row>
        <row r="847"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</row>
        <row r="854"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</row>
        <row r="855"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</row>
        <row r="856"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</row>
        <row r="857"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</row>
        <row r="858"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</row>
        <row r="859"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</row>
        <row r="860"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</row>
        <row r="861"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</row>
        <row r="862"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</row>
        <row r="863"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</row>
        <row r="864"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</row>
        <row r="865"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</row>
        <row r="866"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</row>
        <row r="867"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</row>
        <row r="868"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</row>
        <row r="869"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</row>
        <row r="870"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</row>
        <row r="871"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</row>
        <row r="872"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</row>
        <row r="873"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</row>
        <row r="874"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</row>
        <row r="875"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</row>
        <row r="876"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</row>
        <row r="877"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</row>
        <row r="878"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</row>
        <row r="879"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</row>
        <row r="881"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</row>
        <row r="882"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</row>
        <row r="885"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</row>
        <row r="889"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</row>
        <row r="890"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</row>
        <row r="891"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</row>
        <row r="892"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</row>
        <row r="893"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</row>
        <row r="894"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</row>
        <row r="895"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</row>
        <row r="896"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</row>
        <row r="897"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</row>
        <row r="898"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</row>
        <row r="899"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</row>
        <row r="900"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</row>
        <row r="901"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</row>
        <row r="902"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</row>
        <row r="903"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</row>
        <row r="904"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</row>
        <row r="905"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</row>
        <row r="906"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</row>
        <row r="907"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</row>
        <row r="908"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</row>
        <row r="909"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</row>
        <row r="910"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</row>
        <row r="911"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</row>
        <row r="912"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</row>
        <row r="914"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</row>
        <row r="918"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</row>
        <row r="919"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</row>
        <row r="921"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</row>
        <row r="922"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</row>
        <row r="923"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</row>
        <row r="924"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</row>
        <row r="925"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</row>
        <row r="926"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</row>
        <row r="927"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</row>
        <row r="934"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</row>
        <row r="935"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5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</row>
        <row r="936"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1</v>
          </cell>
          <cell r="J936">
            <v>1</v>
          </cell>
          <cell r="K936">
            <v>1</v>
          </cell>
          <cell r="L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W936">
            <v>0</v>
          </cell>
          <cell r="X936">
            <v>1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</row>
        <row r="937"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</row>
        <row r="938"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N938">
            <v>0</v>
          </cell>
          <cell r="O938">
            <v>0</v>
          </cell>
          <cell r="P938">
            <v>2</v>
          </cell>
          <cell r="Q938">
            <v>0</v>
          </cell>
          <cell r="R938">
            <v>0</v>
          </cell>
          <cell r="S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</row>
        <row r="939">
          <cell r="C939">
            <v>3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W939">
            <v>3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E939">
            <v>1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</row>
        <row r="940"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</row>
        <row r="941"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</row>
        <row r="942"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N942">
            <v>0</v>
          </cell>
          <cell r="O942">
            <v>1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</row>
        <row r="943"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</row>
        <row r="944"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</row>
        <row r="945"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1</v>
          </cell>
          <cell r="K945">
            <v>0</v>
          </cell>
          <cell r="L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</row>
        <row r="946"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W946">
            <v>0</v>
          </cell>
          <cell r="X946">
            <v>1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</row>
        <row r="947"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</row>
        <row r="948"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2</v>
          </cell>
          <cell r="J948">
            <v>2</v>
          </cell>
          <cell r="K948">
            <v>2</v>
          </cell>
          <cell r="L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W948">
            <v>0</v>
          </cell>
          <cell r="X948">
            <v>2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</row>
        <row r="949"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</row>
        <row r="950"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W950">
            <v>0</v>
          </cell>
          <cell r="X950">
            <v>2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</row>
        <row r="951"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</row>
        <row r="952"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3</v>
          </cell>
          <cell r="J952">
            <v>3</v>
          </cell>
          <cell r="K952">
            <v>3</v>
          </cell>
          <cell r="L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W952">
            <v>0</v>
          </cell>
          <cell r="X952">
            <v>2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</row>
        <row r="953"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W953">
            <v>0</v>
          </cell>
          <cell r="X953">
            <v>1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</row>
        <row r="954"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W955">
            <v>0</v>
          </cell>
          <cell r="X955">
            <v>1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3</v>
          </cell>
          <cell r="J956">
            <v>3</v>
          </cell>
          <cell r="K956">
            <v>3</v>
          </cell>
          <cell r="L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W956">
            <v>0</v>
          </cell>
          <cell r="X956">
            <v>2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</row>
        <row r="957"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2</v>
          </cell>
          <cell r="J957">
            <v>2</v>
          </cell>
          <cell r="K957">
            <v>2</v>
          </cell>
          <cell r="L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W957">
            <v>0</v>
          </cell>
          <cell r="X957">
            <v>2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</row>
        <row r="958"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</row>
        <row r="959"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</row>
        <row r="960"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</row>
        <row r="961"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</row>
        <row r="962"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</row>
        <row r="963"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</row>
        <row r="964"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E964">
            <v>1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</row>
        <row r="965"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</row>
        <row r="966"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2</v>
          </cell>
          <cell r="J967">
            <v>2</v>
          </cell>
          <cell r="K967">
            <v>2</v>
          </cell>
          <cell r="L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W967">
            <v>0</v>
          </cell>
          <cell r="X967">
            <v>1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6</v>
          </cell>
          <cell r="H968">
            <v>5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N968">
            <v>5</v>
          </cell>
          <cell r="O968">
            <v>10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W968">
            <v>8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E968">
            <v>0</v>
          </cell>
          <cell r="AF968">
            <v>0</v>
          </cell>
          <cell r="AG968">
            <v>6</v>
          </cell>
          <cell r="AH968">
            <v>0</v>
          </cell>
          <cell r="AI968">
            <v>0</v>
          </cell>
        </row>
        <row r="969"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</row>
        <row r="970"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</row>
        <row r="971"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</row>
        <row r="972">
          <cell r="C972">
            <v>0</v>
          </cell>
          <cell r="D972">
            <v>1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</row>
        <row r="973"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</row>
        <row r="974"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</row>
        <row r="975"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</row>
        <row r="976"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</row>
        <row r="977"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</row>
        <row r="978"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</row>
        <row r="979">
          <cell r="C979">
            <v>0</v>
          </cell>
          <cell r="D979">
            <v>1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</row>
        <row r="980"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</row>
        <row r="981"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W981">
            <v>0</v>
          </cell>
          <cell r="X981">
            <v>0</v>
          </cell>
          <cell r="Y981">
            <v>7</v>
          </cell>
          <cell r="Z981">
            <v>6</v>
          </cell>
          <cell r="AA981">
            <v>6</v>
          </cell>
          <cell r="AB981">
            <v>0</v>
          </cell>
          <cell r="AC981">
            <v>0</v>
          </cell>
          <cell r="AE981">
            <v>4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</row>
        <row r="982"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</row>
        <row r="983"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</row>
        <row r="984"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</row>
        <row r="985"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</row>
        <row r="986"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</row>
        <row r="987"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</row>
        <row r="988"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</row>
        <row r="989"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</v>
          </cell>
          <cell r="AC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</row>
        <row r="990"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</row>
        <row r="991"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</row>
        <row r="992"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1</v>
          </cell>
          <cell r="AA992">
            <v>1</v>
          </cell>
          <cell r="AB992">
            <v>0</v>
          </cell>
          <cell r="AC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</row>
        <row r="993"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3</v>
          </cell>
          <cell r="AA993">
            <v>3</v>
          </cell>
          <cell r="AB993">
            <v>0</v>
          </cell>
          <cell r="AC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</row>
        <row r="994"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1</v>
          </cell>
          <cell r="AI994">
            <v>1</v>
          </cell>
        </row>
        <row r="995"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</row>
        <row r="996"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</row>
        <row r="997"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</row>
        <row r="998"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1</v>
          </cell>
          <cell r="AA998">
            <v>1</v>
          </cell>
          <cell r="AB998">
            <v>0</v>
          </cell>
          <cell r="AC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1</v>
          </cell>
        </row>
        <row r="999"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1</v>
          </cell>
          <cell r="S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1</v>
          </cell>
          <cell r="J1003">
            <v>1</v>
          </cell>
          <cell r="K1003">
            <v>1</v>
          </cell>
          <cell r="L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2</v>
          </cell>
          <cell r="R1004">
            <v>2</v>
          </cell>
          <cell r="S1004">
            <v>2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</row>
        <row r="1005">
          <cell r="C1005">
            <v>0</v>
          </cell>
          <cell r="D1005">
            <v>0</v>
          </cell>
          <cell r="E1005">
            <v>1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</row>
        <row r="1006"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W1006">
            <v>0</v>
          </cell>
          <cell r="X1006">
            <v>0</v>
          </cell>
          <cell r="Y1006">
            <v>1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</row>
        <row r="1007"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1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E1007">
            <v>1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</row>
        <row r="1008"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1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E1008">
            <v>1</v>
          </cell>
          <cell r="AF1008">
            <v>0</v>
          </cell>
          <cell r="AG1008">
            <v>1</v>
          </cell>
          <cell r="AH1008">
            <v>0</v>
          </cell>
          <cell r="AI1008">
            <v>0</v>
          </cell>
        </row>
        <row r="1009"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</row>
        <row r="1010"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1</v>
          </cell>
          <cell r="R1010">
            <v>1</v>
          </cell>
          <cell r="S1010">
            <v>1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</row>
        <row r="1011"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</row>
        <row r="1012"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</row>
        <row r="1013"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3</v>
          </cell>
          <cell r="AA1013">
            <v>3</v>
          </cell>
          <cell r="AB1013">
            <v>0</v>
          </cell>
          <cell r="AC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3</v>
          </cell>
        </row>
        <row r="1014"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1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</row>
        <row r="1015"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</row>
        <row r="1016"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</row>
        <row r="1017"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</row>
        <row r="1018"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</row>
        <row r="1019"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</row>
        <row r="1020"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</row>
        <row r="1021"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</row>
        <row r="1022"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E1022">
            <v>4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</row>
        <row r="1023"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1</v>
          </cell>
          <cell r="H1023">
            <v>3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E1023">
            <v>0</v>
          </cell>
          <cell r="AF1023">
            <v>2</v>
          </cell>
          <cell r="AG1023">
            <v>0</v>
          </cell>
          <cell r="AH1023">
            <v>0</v>
          </cell>
          <cell r="AI1023">
            <v>0</v>
          </cell>
        </row>
        <row r="1024"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18</v>
          </cell>
          <cell r="R1024">
            <v>4</v>
          </cell>
          <cell r="S1024">
            <v>18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E1024">
            <v>1</v>
          </cell>
          <cell r="AF1024">
            <v>4</v>
          </cell>
          <cell r="AG1024">
            <v>0</v>
          </cell>
          <cell r="AH1024">
            <v>0</v>
          </cell>
          <cell r="AI1024">
            <v>0</v>
          </cell>
        </row>
        <row r="1025"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</row>
        <row r="1026"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</row>
        <row r="1027"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W1027">
            <v>0</v>
          </cell>
          <cell r="X1027">
            <v>0</v>
          </cell>
          <cell r="Y1027">
            <v>2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</row>
        <row r="1028"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</row>
        <row r="1029"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</row>
        <row r="1030"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</row>
        <row r="1031"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</row>
        <row r="1032"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</row>
        <row r="1033"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</row>
        <row r="1034"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</row>
        <row r="1035"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</row>
        <row r="1036"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</row>
        <row r="1037"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</row>
        <row r="1038"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</row>
        <row r="1039"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</row>
        <row r="1040"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</row>
        <row r="1041"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</row>
        <row r="1042"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</row>
        <row r="1043"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</row>
        <row r="1044"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</row>
        <row r="1045"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</row>
        <row r="1046"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</row>
        <row r="1047"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</row>
        <row r="1048"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</row>
        <row r="1049"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</row>
        <row r="1050"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</row>
        <row r="1051"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</row>
        <row r="1052"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</row>
        <row r="1053"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</row>
        <row r="1054"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</row>
        <row r="1055"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</row>
        <row r="1056"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</row>
        <row r="1057"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</row>
        <row r="1058"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</row>
        <row r="1059"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</row>
        <row r="1060"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</row>
        <row r="1061"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</row>
        <row r="1062"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</row>
        <row r="1063"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</row>
        <row r="1064"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</row>
        <row r="1065"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</row>
        <row r="1066"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</row>
        <row r="1067"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2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</row>
        <row r="1068"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1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</row>
        <row r="1069"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</row>
        <row r="1070"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</row>
        <row r="1071"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</row>
        <row r="1072"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</row>
        <row r="1073"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</row>
        <row r="1074"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</row>
        <row r="1075"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</row>
        <row r="1076"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</row>
        <row r="1077"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</row>
        <row r="1078"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</row>
        <row r="1079">
          <cell r="C1079">
            <v>0</v>
          </cell>
          <cell r="D1079">
            <v>0</v>
          </cell>
          <cell r="E1079">
            <v>0</v>
          </cell>
          <cell r="F1079">
            <v>2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1</v>
          </cell>
          <cell r="R1079">
            <v>1</v>
          </cell>
          <cell r="S1079">
            <v>1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1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</row>
        <row r="1080"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</row>
        <row r="1081"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</row>
        <row r="1082">
          <cell r="C1082">
            <v>0</v>
          </cell>
          <cell r="D1082">
            <v>0</v>
          </cell>
          <cell r="E1082">
            <v>0</v>
          </cell>
          <cell r="F1082">
            <v>2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1</v>
          </cell>
          <cell r="R1082">
            <v>1</v>
          </cell>
          <cell r="S1082">
            <v>1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1</v>
          </cell>
          <cell r="AC1082">
            <v>1</v>
          </cell>
          <cell r="AE1082">
            <v>0</v>
          </cell>
          <cell r="AF1082">
            <v>0</v>
          </cell>
          <cell r="AG1082">
            <v>0</v>
          </cell>
          <cell r="AH1082">
            <v>4</v>
          </cell>
          <cell r="AI1082">
            <v>0</v>
          </cell>
        </row>
        <row r="1083"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</row>
        <row r="1084">
          <cell r="C1084">
            <v>0</v>
          </cell>
          <cell r="D1084">
            <v>0</v>
          </cell>
          <cell r="E1084">
            <v>0</v>
          </cell>
          <cell r="F1084">
            <v>1</v>
          </cell>
          <cell r="G1084">
            <v>0</v>
          </cell>
          <cell r="H1084">
            <v>1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E1084">
            <v>1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</row>
        <row r="1085"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</row>
        <row r="1086"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</row>
        <row r="1087"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E1087">
            <v>2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</row>
        <row r="1088"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</row>
        <row r="1089"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W1089">
            <v>0</v>
          </cell>
          <cell r="X1089">
            <v>0</v>
          </cell>
          <cell r="Y1089">
            <v>2</v>
          </cell>
          <cell r="Z1089">
            <v>2</v>
          </cell>
          <cell r="AA1089">
            <v>2</v>
          </cell>
          <cell r="AB1089">
            <v>0</v>
          </cell>
          <cell r="AC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</row>
        <row r="1090"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</row>
        <row r="1091"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2</v>
          </cell>
        </row>
        <row r="1092"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2</v>
          </cell>
        </row>
        <row r="1093"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</row>
        <row r="1094"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</row>
        <row r="1095"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</row>
        <row r="1096"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</row>
        <row r="1097"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</row>
        <row r="1098"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</row>
        <row r="1099"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</row>
        <row r="1100"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</row>
        <row r="1101"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</row>
        <row r="1102"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</row>
        <row r="1103"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</row>
        <row r="1104"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</row>
        <row r="1105"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</row>
        <row r="1106"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</row>
        <row r="1107"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</row>
        <row r="1108"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</row>
        <row r="1109"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</row>
        <row r="1110"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</row>
        <row r="1111"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</row>
        <row r="1112"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</row>
        <row r="1113"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</row>
        <row r="1114"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</row>
        <row r="1115"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</row>
        <row r="1116"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</row>
        <row r="1117"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</row>
        <row r="1118"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</row>
        <row r="1119"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</row>
        <row r="1120"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</row>
        <row r="1121"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</row>
        <row r="1122"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</row>
        <row r="1123"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</row>
        <row r="1124"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</row>
        <row r="1125"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1 (1Д)"/>
      <sheetName val="Труд-сть (изм.)"/>
      <sheetName val="Обоснования тр-ти"/>
      <sheetName val="Ф 2д (эт.1)"/>
      <sheetName val="Ф 4д (эт.1)"/>
      <sheetName val="Ф 6д (эт.1)"/>
      <sheetName val="Ф 9д (эт.1)"/>
      <sheetName val="Ф 2д (эт.2)"/>
      <sheetName val="Ф 9д (эт.2)"/>
      <sheetName val="Ф 2д (эт.3) "/>
      <sheetName val="Ф 9д (эт.3) "/>
      <sheetName val="Ф 2д (эт.4) "/>
      <sheetName val="Ф 9д (эт.4) "/>
      <sheetName val="Ф 19д(эт.4)"/>
      <sheetName val="Заключение"/>
      <sheetName val="Ф 2д (эт.5) "/>
      <sheetName val="Ф 9д (эт.5)  "/>
      <sheetName val="Ф 19д (эт.5)"/>
      <sheetName val="Ф 2д (эт.6) "/>
      <sheetName val="Ф 9д (эт.6)  "/>
      <sheetName val="Ф 2д (эт.7)"/>
      <sheetName val="Ф 4д (эт.7)"/>
      <sheetName val="Ф 6д (эт.7)"/>
      <sheetName val="Ф 9д (эт.7)"/>
    </sheetNames>
    <sheetDataSet>
      <sheetData sheetId="0" refreshError="1"/>
      <sheetData sheetId="1" refreshError="1"/>
      <sheetData sheetId="2" refreshError="1"/>
      <sheetData sheetId="3" refreshError="1">
        <row r="32">
          <cell r="G32">
            <v>437.35</v>
          </cell>
        </row>
        <row r="34">
          <cell r="G34">
            <v>0.30199999999999999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. № 5 Ф1(1д) прот"/>
      <sheetName val="Прил. № 5 Ф1(1д)"/>
      <sheetName val="2 план кальк"/>
      <sheetName val="ф4 мат"/>
      <sheetName val="ОЗП_ф9"/>
      <sheetName val="ф7.1 работы стор"/>
      <sheetName val="ф9_ОЗП"/>
      <sheetName val="ф.9_ОЗП_расшифровка"/>
      <sheetName val="20 (20д) приб"/>
      <sheetName val="ф8"/>
      <sheetName val="ф.10"/>
      <sheetName val="ф.11_ц14"/>
      <sheetName val="ф.11_ц12"/>
      <sheetName val="ф.12_2022-2023"/>
      <sheetName val="ф.12_2024-2026"/>
      <sheetName val="ф.22"/>
    </sheetNames>
    <sheetDataSet>
      <sheetData sheetId="0"/>
      <sheetData sheetId="1"/>
      <sheetData sheetId="2"/>
      <sheetData sheetId="3">
        <row r="10">
          <cell r="AD10">
            <v>0</v>
          </cell>
        </row>
      </sheetData>
      <sheetData sheetId="4"/>
      <sheetData sheetId="5"/>
      <sheetData sheetId="6"/>
      <sheetData sheetId="7"/>
      <sheetData sheetId="8">
        <row r="44">
          <cell r="H44">
            <v>0</v>
          </cell>
          <cell r="M44">
            <v>0</v>
          </cell>
          <cell r="N4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-watervalve.ru/59137/" TargetMode="External"/><Relationship Id="rId3" Type="http://schemas.openxmlformats.org/officeDocument/2006/relationships/hyperlink" Target="https://ekb.pulscen.ru/products/list_stalnoy_24kh2000kh6000_mm_d36_gost_r_52927_2015_303060267" TargetMode="External"/><Relationship Id="rId7" Type="http://schemas.openxmlformats.org/officeDocument/2006/relationships/hyperlink" Target="https://snabcable.ru/about_us/" TargetMode="External"/><Relationship Id="rId12" Type="http://schemas.openxmlformats.org/officeDocument/2006/relationships/hyperlink" Target="https://dkc-msk.ru/products/lotok-perforirovannyy-100kh50-l3000-35262/" TargetMode="External"/><Relationship Id="rId2" Type="http://schemas.openxmlformats.org/officeDocument/2006/relationships/hyperlink" Target="https://mc.ru/metalloprokat/stal_listovaya_g_k/mark/09g2s" TargetMode="External"/><Relationship Id="rId1" Type="http://schemas.openxmlformats.org/officeDocument/2006/relationships/hyperlink" Target="https://spbalum.ru/metal/alyuminievyj-list/alyuminievyj-list-amg5" TargetMode="External"/><Relationship Id="rId6" Type="http://schemas.openxmlformats.org/officeDocument/2006/relationships/hyperlink" Target="https://www.sv-metal.ru/catalog/alluminiy/alyuminievyy-ugolok/amg5-50h30h3-0-l-6000-410944/?spm=a2ty_o01.29997173.0.0.51c855fb33pSyd" TargetMode="External"/><Relationship Id="rId11" Type="http://schemas.openxmlformats.org/officeDocument/2006/relationships/hyperlink" Target="https://energo-pipe.ru/" TargetMode="External"/><Relationship Id="rId5" Type="http://schemas.openxmlformats.org/officeDocument/2006/relationships/hyperlink" Target="https://metsklad.ru/tavr-alyuminievyij/tavr-alyuminievyij-amg5-20x20x2-gost-13622-91/?spm=a2ty_o01.29997173.0.0.51c855fb33pSyd" TargetMode="External"/><Relationship Id="rId10" Type="http://schemas.openxmlformats.org/officeDocument/2006/relationships/hyperlink" Target="https://moststal.ru/magazin/alyuminievyij-ugolok-amg5-40x25x4?spm=a2ty_o01.29997173.0.0.51c855fb33pSyd" TargetMode="External"/><Relationship Id="rId4" Type="http://schemas.openxmlformats.org/officeDocument/2006/relationships/hyperlink" Target="https://mc.ru/metalloprokat/stal_listovaya_g_k_sudostroitelnaya" TargetMode="External"/><Relationship Id="rId9" Type="http://schemas.openxmlformats.org/officeDocument/2006/relationships/hyperlink" Target="https://www.inoxmarket.ru/truba_nerzhaveyushaya-c8/truba_12h18n10t-c52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spb.hh.ru/vacancy/137482925?query=&#1074;&#1077;&#1076;&#1091;&#1097;&#1080;&#1081;+&#1080;&#1085;&#1078;&#1077;&#1085;&#1077;&#1088;-&#1090;&#1077;&#1093;&#1085;&#1086;&#1083;&#1086;&#1075;&amp;hhtmFrom=vacancy_search_list" TargetMode="External"/><Relationship Id="rId13" Type="http://schemas.openxmlformats.org/officeDocument/2006/relationships/hyperlink" Target="https://spb.hh.ru/vacancy/137655586?query=&#1084;&#1072;&#1089;&#1090;&#1077;&#1088;+&#1091;&#1095;&#1072;&#1089;&#1090;&#1082;&#1072;&amp;hhtmFrom=vacancy_search_list" TargetMode="External"/><Relationship Id="rId18" Type="http://schemas.openxmlformats.org/officeDocument/2006/relationships/hyperlink" Target="https://spb.hh.ru/search/vacancy?text=&#1075;&#1083;&#1072;&#1074;&#1085;&#1099;&#1081;+&#1089;&#1090;&#1088;&#1086;&#1080;&#1090;&#1077;&#1083;&#1100;+&#1082;&#1086;&#1088;&#1072;&#1073;&#1083;&#1077;&#1081;&amp;salary=&amp;ored_clusters=true&amp;area=2&amp;suggestId=5f773725-bec5-4e17-8e9c-57afa341078d&amp;hhtmFrom=vacancy_search_list&amp;hhtmFromLabel=vacancy_search_line" TargetMode="External"/><Relationship Id="rId3" Type="http://schemas.openxmlformats.org/officeDocument/2006/relationships/hyperlink" Target="https://spb.hh.ru/vacancy/136536917?query=&#1079;&#1072;&#1084;&#1077;&#1089;&#1090;&#1080;&#1090;&#1077;&#1083;&#1100;+&#1075;&#1083;&#1072;&#1074;&#1085;&#1086;&#1075;&#1086;+&#1080;&#1085;&#1078;&#1077;&#1085;&#1077;&#1088;&#1072;&amp;hhtmFrom=vacancy_search_list" TargetMode="External"/><Relationship Id="rId7" Type="http://schemas.openxmlformats.org/officeDocument/2006/relationships/hyperlink" Target="https://spb.hh.ru/vacancy/136537115?query=&#1074;&#1077;&#1076;&#1091;&#1097;&#1080;&#1081;+&#1101;&#1082;&#1086;&#1085;&#1086;&#1084;&#1080;&#1089;&#1090;&amp;hhtmFrom=vacancy_search_list" TargetMode="External"/><Relationship Id="rId12" Type="http://schemas.openxmlformats.org/officeDocument/2006/relationships/hyperlink" Target="https://spb.hh.ru/vacancy/136540024?query=&#1089;&#1090;&#1072;&#1088;&#1096;&#1080;&#1081;+&#1084;&#1072;&#1089;&#1090;&#1077;&#1088;+&#1091;&#1095;&#1072;&#1089;&#1090;&#1082;&#1072;&amp;hhtmFrom=vacancy_search_list" TargetMode="External"/><Relationship Id="rId17" Type="http://schemas.openxmlformats.org/officeDocument/2006/relationships/hyperlink" Target="https://spb.hh.ru/vacancy/132322232?query=&#1089;&#1087;&#1077;&#1094;&#1080;&#1072;&#1083;&#1080;&#1089;&#1090;+&#1087;&#1086;+&#1089;&#1074;&#1103;&#1079;&#1103;&#1084;+&#1089;+&#1086;&#1073;&#1097;&#1077;&#1089;&#1090;&#1074;&#1077;&#1085;&#1085;&#1086;&#1089;&#1090;&#1100;&#1102;&amp;hhtmFrom=vacancy_search_list" TargetMode="External"/><Relationship Id="rId2" Type="http://schemas.openxmlformats.org/officeDocument/2006/relationships/hyperlink" Target="https://spb.hh.ru/vacancy/137709749?query=&#1082;&#1083;&#1072;&#1076;&#1086;&#1074;&#1097;&#1080;&#1082;+&#1085;&#1072;+&#1079;&#1072;&#1074;&#1086;&#1076;&amp;hhtmFrom=vacancy_search_list" TargetMode="External"/><Relationship Id="rId16" Type="http://schemas.openxmlformats.org/officeDocument/2006/relationships/hyperlink" Target="https://spb.hh.ru/vacancy/136953728?query=&#1085;&#1072;&#1083;&#1072;&#1076;&#1095;&#1080;&#1082;+&#1089;&#1080;&#1089;&#1090;&#1077;&#1084;&#1099;&amp;hhtmFrom=vacancy_search_list" TargetMode="External"/><Relationship Id="rId1" Type="http://schemas.openxmlformats.org/officeDocument/2006/relationships/hyperlink" Target="https://spb.hh.ru/vacancy/137572170?query=&#1090;&#1077;&#1093;&#1085;&#1086;&#1083;&#1086;&#1075;+1+&#1082;&#1072;&#1090;&#1077;&#1075;&#1086;&#1088;&#1080;&#1080;&amp;hhtmFrom=vacancy_search_list" TargetMode="External"/><Relationship Id="rId6" Type="http://schemas.openxmlformats.org/officeDocument/2006/relationships/hyperlink" Target="https://spb.hh.ru/vacancy/135598070?query=&#1074;&#1077;&#1076;&#1091;&#1097;&#1080;&#1081;+&#1089;&#1087;&#1077;&#1094;&#1080;&#1072;&#1083;&#1080;&#1089;&#1090;+&#1090;&#1077;&#1093;&#1085;&#1080;&#1095;&#1077;&#1089;&#1082;&#1086;&#1075;&#1086;+&#1082;&#1086;&#1085;&#1090;&#1088;&#1086;&#1083;&#1103;&amp;hhtmFrom=vacancy_search_list" TargetMode="External"/><Relationship Id="rId11" Type="http://schemas.openxmlformats.org/officeDocument/2006/relationships/hyperlink" Target="https://spb.hh.ru/vacancy/137569275?query=&#1085;&#1072;&#1095;&#1072;&#1083;&#1100;&#1085;&#1080;&#1082;+&#1091;&#1095;&#1072;&#1089;&#1090;&#1082;&#1072;&amp;hhtmFrom=vacancy_search_list" TargetMode="External"/><Relationship Id="rId5" Type="http://schemas.openxmlformats.org/officeDocument/2006/relationships/hyperlink" Target="https://spb.hh.ru/vacancy/137049104?query=&#1074;&#1077;&#1076;&#1091;&#1097;&#1080;&#1081;+&#1090;&#1077;&#1093;&#1085;&#1086;&#1083;&#1086;&#1075;&amp;hhtmFrom=vacancy_search_list" TargetMode="External"/><Relationship Id="rId15" Type="http://schemas.openxmlformats.org/officeDocument/2006/relationships/hyperlink" Target="https://spb.hh.ru/vacancy/137355491?query=&#1089;&#1087;&#1077;&#1094;&#1080;&#1072;&#1083;&#1080;&#1089;&#1090;+&#1087;&#1086;+&#1052;&#1058;&#1054;&amp;hhtmFrom=vacancy_search_list" TargetMode="External"/><Relationship Id="rId10" Type="http://schemas.openxmlformats.org/officeDocument/2006/relationships/hyperlink" Target="https://spb.hh.ru/vacancy/137711314?query=&#1085;&#1072;&#1095;&#1072;&#1083;&#1100;&#1085;&#1080;&#1082;+&#1087;&#1088;&#1086;&#1080;&#1079;&#1074;&#1086;&#1076;&#1089;&#1090;&#1074;&#1072;&amp;hhtmFrom=vacancy_search_list" TargetMode="External"/><Relationship Id="rId4" Type="http://schemas.openxmlformats.org/officeDocument/2006/relationships/hyperlink" Target="https://spb.hh.ru/vacancy/137042333?query=&#1074;&#1077;&#1076;&#1091;&#1097;&#1080;&#1081;+&#1082;&#1086;&#1085;&#1089;&#1090;&#1088;&#1091;&#1082;&#1090;&#1086;&#1088;&amp;hhtmFrom=vacancy_search_list" TargetMode="External"/><Relationship Id="rId9" Type="http://schemas.openxmlformats.org/officeDocument/2006/relationships/hyperlink" Target="https://spb.hh.ru/vacancy/136907155?query=&#1080;&#1085;&#1078;&#1077;&#1085;&#1077;&#1088;-&#1082;&#1086;&#1085;&#1089;&#1090;&#1088;&#1091;&#1082;&#1090;&#1086;&#1088;+1+&#1082;&#1072;&#1090;&#1077;&#1075;&#1086;&#1088;&#1080;&#1080;&amp;hhtmFrom=vacancy_search_list" TargetMode="External"/><Relationship Id="rId14" Type="http://schemas.openxmlformats.org/officeDocument/2006/relationships/hyperlink" Target="https://spb.hh.ru/vacancy/137697813?query=&#1089;&#1087;&#1077;&#1094;&#1080;&#1072;&#1083;&#1080;&#1089;&#1090;+&#1087;&#1086;+&#1086;&#1093;&#1088;&#1072;&#1085;&#1077;+&#1090;&#1088;&#1091;&#1076;&#1072;&amp;hhtmFrom=vacancy_search_lis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tro-spb.ru/reklama-na-stanciyah-metro/shchit-putevoj.htm?ysclid=mudu3rg6be4866530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C2BF-180A-41DD-9E3C-B40718FBE3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4110-BFC6-4CEA-8052-818E2365ED03}">
  <dimension ref="A1:BO47"/>
  <sheetViews>
    <sheetView tabSelected="1" topLeftCell="A13" zoomScale="85" zoomScaleNormal="85" zoomScaleSheetLayoutView="100" workbookViewId="0">
      <selection activeCell="C21" sqref="C21"/>
    </sheetView>
  </sheetViews>
  <sheetFormatPr defaultColWidth="0.88671875" defaultRowHeight="15.6" x14ac:dyDescent="0.3"/>
  <cols>
    <col min="1" max="1" width="6.5546875" style="18" customWidth="1"/>
    <col min="2" max="2" width="55.77734375" style="23" bestFit="1" customWidth="1"/>
    <col min="3" max="3" width="17.44140625" style="18" bestFit="1" customWidth="1"/>
    <col min="4" max="4" width="11.6640625" style="18" bestFit="1" customWidth="1"/>
    <col min="5" max="7" width="15.77734375" style="18" bestFit="1" customWidth="1"/>
    <col min="8" max="8" width="12.88671875" style="18" bestFit="1" customWidth="1"/>
    <col min="9" max="16384" width="0.88671875" style="18"/>
  </cols>
  <sheetData>
    <row r="1" spans="1:8" s="16" customFormat="1" ht="20.25" customHeight="1" x14ac:dyDescent="0.3">
      <c r="A1" s="26"/>
      <c r="B1" s="146"/>
      <c r="C1" s="26"/>
      <c r="D1" s="26"/>
      <c r="E1" s="26"/>
      <c r="F1" s="26"/>
      <c r="G1" s="26"/>
    </row>
    <row r="2" spans="1:8" ht="18.75" customHeight="1" x14ac:dyDescent="0.3">
      <c r="A2" s="147"/>
      <c r="B2" s="148"/>
      <c r="C2" s="147"/>
      <c r="D2" s="147"/>
      <c r="E2" s="147"/>
      <c r="F2" s="147"/>
      <c r="G2" s="147"/>
    </row>
    <row r="3" spans="1:8" ht="30" customHeight="1" x14ac:dyDescent="0.3">
      <c r="A3" s="25"/>
      <c r="B3" s="149" t="s">
        <v>37</v>
      </c>
      <c r="C3" s="150" t="s">
        <v>38</v>
      </c>
      <c r="D3" s="151"/>
      <c r="E3" s="151"/>
      <c r="F3" s="151"/>
      <c r="G3" s="152"/>
      <c r="H3" s="149" t="s">
        <v>39</v>
      </c>
    </row>
    <row r="4" spans="1:8" s="15" customFormat="1" ht="16.5" customHeight="1" x14ac:dyDescent="0.3">
      <c r="A4" s="24"/>
      <c r="B4" s="153"/>
      <c r="C4" s="154" t="s">
        <v>40</v>
      </c>
      <c r="D4" s="155" t="s">
        <v>53</v>
      </c>
      <c r="E4" s="156"/>
      <c r="F4" s="156"/>
      <c r="G4" s="157"/>
      <c r="H4" s="153"/>
    </row>
    <row r="5" spans="1:8" s="16" customFormat="1" ht="72" customHeight="1" x14ac:dyDescent="0.3">
      <c r="A5" s="26"/>
      <c r="B5" s="158"/>
      <c r="C5" s="159"/>
      <c r="D5" s="160" t="s">
        <v>60</v>
      </c>
      <c r="E5" s="160" t="s">
        <v>61</v>
      </c>
      <c r="F5" s="160" t="s">
        <v>62</v>
      </c>
      <c r="G5" s="160" t="s">
        <v>148</v>
      </c>
      <c r="H5" s="158"/>
    </row>
    <row r="6" spans="1:8" s="16" customFormat="1" ht="15" customHeight="1" x14ac:dyDescent="0.3">
      <c r="A6" s="26"/>
      <c r="B6" s="161" t="s">
        <v>41</v>
      </c>
      <c r="C6" s="162">
        <f>C8+C10+C9</f>
        <v>793531404.35081959</v>
      </c>
      <c r="D6" s="163">
        <f>D8+D10+D9</f>
        <v>0</v>
      </c>
      <c r="E6" s="163">
        <f>E8+E10+E9</f>
        <v>793531404.35081959</v>
      </c>
      <c r="F6" s="163">
        <f>F8+F10+F9</f>
        <v>0</v>
      </c>
      <c r="G6" s="163">
        <f>G8+G10+G9</f>
        <v>0</v>
      </c>
      <c r="H6" s="164"/>
    </row>
    <row r="7" spans="1:8" s="16" customFormat="1" ht="15" customHeight="1" x14ac:dyDescent="0.3">
      <c r="A7" s="26"/>
      <c r="B7" s="161" t="s">
        <v>42</v>
      </c>
      <c r="C7" s="165"/>
      <c r="D7" s="166"/>
      <c r="E7" s="166"/>
      <c r="F7" s="166"/>
      <c r="G7" s="166"/>
      <c r="H7" s="164"/>
    </row>
    <row r="8" spans="1:8" s="16" customFormat="1" ht="34.200000000000003" customHeight="1" x14ac:dyDescent="0.3">
      <c r="A8" s="26"/>
      <c r="B8" s="161" t="s">
        <v>43</v>
      </c>
      <c r="C8" s="167">
        <f>D8+E8+F8</f>
        <v>221923362.17540979</v>
      </c>
      <c r="D8" s="168"/>
      <c r="E8" s="168">
        <f>'Материалы '!E21</f>
        <v>221923362.17540979</v>
      </c>
      <c r="F8" s="168">
        <f>'[4]ф4 мат'!AD10</f>
        <v>0</v>
      </c>
      <c r="G8" s="168"/>
      <c r="H8" s="169"/>
    </row>
    <row r="9" spans="1:8" x14ac:dyDescent="0.3">
      <c r="A9" s="147"/>
      <c r="B9" s="161" t="s">
        <v>44</v>
      </c>
      <c r="C9" s="162">
        <f>D9+E9+F9</f>
        <v>345880000</v>
      </c>
      <c r="D9" s="163">
        <v>0</v>
      </c>
      <c r="E9" s="163">
        <f>ПКИ!D9</f>
        <v>345880000</v>
      </c>
      <c r="F9" s="163">
        <v>0</v>
      </c>
      <c r="G9" s="163"/>
      <c r="H9" s="169"/>
    </row>
    <row r="10" spans="1:8" ht="39" customHeight="1" x14ac:dyDescent="0.3">
      <c r="B10" s="161" t="s">
        <v>327</v>
      </c>
      <c r="C10" s="162">
        <f>D10+E10+F10</f>
        <v>225728042.17540979</v>
      </c>
      <c r="D10" s="163"/>
      <c r="E10" s="163">
        <f>E8+E9*1.1%</f>
        <v>225728042.17540979</v>
      </c>
      <c r="F10" s="163">
        <f>F8*1.1%</f>
        <v>0</v>
      </c>
      <c r="G10" s="163"/>
      <c r="H10" s="169"/>
    </row>
    <row r="11" spans="1:8" ht="15.75" customHeight="1" x14ac:dyDescent="0.3">
      <c r="B11" s="161" t="s">
        <v>45</v>
      </c>
      <c r="C11" s="162">
        <f>C13+C14</f>
        <v>813282857.47952867</v>
      </c>
      <c r="D11" s="163">
        <f>D13+D14</f>
        <v>0</v>
      </c>
      <c r="E11" s="163">
        <f>E13+E14</f>
        <v>66272626.833275914</v>
      </c>
      <c r="F11" s="163">
        <f>F13+F14</f>
        <v>528552231.37429279</v>
      </c>
      <c r="G11" s="163">
        <f>G13+G14</f>
        <v>218457999.27196002</v>
      </c>
      <c r="H11" s="169"/>
    </row>
    <row r="12" spans="1:8" x14ac:dyDescent="0.3">
      <c r="B12" s="161" t="s">
        <v>42</v>
      </c>
      <c r="C12" s="162"/>
      <c r="D12" s="166"/>
      <c r="E12" s="166"/>
      <c r="F12" s="166"/>
      <c r="G12" s="166"/>
      <c r="H12" s="169"/>
    </row>
    <row r="13" spans="1:8" ht="15.75" customHeight="1" x14ac:dyDescent="0.3">
      <c r="B13" s="161" t="s">
        <v>46</v>
      </c>
      <c r="C13" s="162">
        <f>SUM(D13:G13)</f>
        <v>717431663.56229854</v>
      </c>
      <c r="D13" s="163"/>
      <c r="E13" s="163">
        <f>ФОТ_ОПР_расчёт!D11</f>
        <v>58461924.385068394</v>
      </c>
      <c r="F13" s="163">
        <f>ФОТ_ОПР_расчёт!D21</f>
        <v>466258575.53375113</v>
      </c>
      <c r="G13" s="163">
        <f>ФОТ_ОПР_расчёт!D26</f>
        <v>192711163.64347902</v>
      </c>
      <c r="H13" s="169"/>
    </row>
    <row r="14" spans="1:8" ht="15.75" customHeight="1" x14ac:dyDescent="0.3">
      <c r="B14" s="161" t="s">
        <v>47</v>
      </c>
      <c r="C14" s="162">
        <f t="shared" ref="C14:C15" si="0">SUM(D14:G14)</f>
        <v>95851193.917230159</v>
      </c>
      <c r="D14" s="163"/>
      <c r="E14" s="163">
        <f>ФОТ_ОПР_расчёт!F11</f>
        <v>7810702.4482075199</v>
      </c>
      <c r="F14" s="163">
        <f>ФОТ_ОПР_расчёт!F21</f>
        <v>62293655.840541646</v>
      </c>
      <c r="G14" s="163">
        <f>ФОТ_ОПР_расчёт!F26</f>
        <v>25746835.628481004</v>
      </c>
      <c r="H14" s="169"/>
    </row>
    <row r="15" spans="1:8" ht="31.2" x14ac:dyDescent="0.3">
      <c r="B15" s="161" t="s">
        <v>48</v>
      </c>
      <c r="C15" s="162">
        <f t="shared" si="0"/>
        <v>266756777.25328547</v>
      </c>
      <c r="D15" s="163"/>
      <c r="E15" s="163">
        <f>ФОТ_ОПР_расчёт!H11</f>
        <v>21737421.601314507</v>
      </c>
      <c r="F15" s="163">
        <f>ФОТ_ОПР_расчёт!H21</f>
        <v>173365131.89076805</v>
      </c>
      <c r="G15" s="163">
        <f>ФОТ_ОПР_расчёт!H26</f>
        <v>71654223.761202902</v>
      </c>
      <c r="H15" s="169"/>
    </row>
    <row r="16" spans="1:8" ht="14.25" customHeight="1" x14ac:dyDescent="0.3">
      <c r="B16" s="161" t="s">
        <v>49</v>
      </c>
      <c r="C16" s="162">
        <f t="shared" ref="C16:C17" si="1">D16+E16+F16</f>
        <v>0</v>
      </c>
      <c r="D16" s="163"/>
      <c r="E16" s="163">
        <v>0</v>
      </c>
      <c r="F16" s="163">
        <v>0</v>
      </c>
      <c r="G16" s="163"/>
      <c r="H16" s="169"/>
    </row>
    <row r="17" spans="2:67" ht="14.25" customHeight="1" x14ac:dyDescent="0.3">
      <c r="B17" s="161" t="s">
        <v>50</v>
      </c>
      <c r="C17" s="162">
        <f t="shared" si="1"/>
        <v>0</v>
      </c>
      <c r="D17" s="163"/>
      <c r="E17" s="163">
        <v>0</v>
      </c>
      <c r="F17" s="163">
        <v>0</v>
      </c>
      <c r="G17" s="163"/>
      <c r="H17" s="169"/>
    </row>
    <row r="18" spans="2:67" ht="14.25" customHeight="1" x14ac:dyDescent="0.3">
      <c r="B18" s="161" t="s">
        <v>342</v>
      </c>
      <c r="C18" s="162"/>
      <c r="D18" s="163"/>
      <c r="E18" s="163"/>
      <c r="F18" s="163"/>
      <c r="G18" s="163"/>
      <c r="H18" s="169"/>
    </row>
    <row r="19" spans="2:67" ht="31.2" x14ac:dyDescent="0.3">
      <c r="B19" s="161" t="s">
        <v>51</v>
      </c>
      <c r="C19" s="170">
        <f>SUM(D19:G19)</f>
        <v>1583458816.0504708</v>
      </c>
      <c r="D19" s="171"/>
      <c r="E19" s="171">
        <f>E6+E11+E15+E16+E17+E18</f>
        <v>881541452.78541005</v>
      </c>
      <c r="F19" s="171">
        <f>F6+F11+F15+F16+F17+F18</f>
        <v>701917363.2650609</v>
      </c>
      <c r="G19" s="171"/>
      <c r="H19" s="169"/>
    </row>
    <row r="20" spans="2:67" x14ac:dyDescent="0.3">
      <c r="B20" s="161" t="s">
        <v>52</v>
      </c>
      <c r="C20" s="165"/>
      <c r="D20" s="172"/>
      <c r="E20" s="172"/>
      <c r="F20" s="172"/>
      <c r="G20" s="172"/>
      <c r="H20" s="169"/>
    </row>
    <row r="21" spans="2:67" ht="31.2" x14ac:dyDescent="0.3">
      <c r="B21" s="161" t="s">
        <v>300</v>
      </c>
      <c r="C21" s="170">
        <f>C19</f>
        <v>1583458816.0504708</v>
      </c>
      <c r="D21" s="171">
        <f>D19</f>
        <v>0</v>
      </c>
      <c r="E21" s="171">
        <f>E19</f>
        <v>881541452.78541005</v>
      </c>
      <c r="F21" s="171">
        <f>F19</f>
        <v>701917363.2650609</v>
      </c>
      <c r="G21" s="171"/>
      <c r="H21" s="169"/>
    </row>
    <row r="22" spans="2:67" ht="18" customHeight="1" x14ac:dyDescent="0.3">
      <c r="B22" s="161" t="s">
        <v>53</v>
      </c>
      <c r="C22" s="165"/>
      <c r="D22" s="166"/>
      <c r="E22" s="166"/>
      <c r="F22" s="166"/>
      <c r="G22" s="166"/>
      <c r="H22" s="173"/>
    </row>
    <row r="23" spans="2:67" ht="18" customHeight="1" x14ac:dyDescent="0.3">
      <c r="B23" s="161" t="s">
        <v>54</v>
      </c>
      <c r="C23" s="162">
        <f t="shared" ref="C23:C24" si="2">D23+E23+F23</f>
        <v>0</v>
      </c>
      <c r="D23" s="163"/>
      <c r="E23" s="163"/>
      <c r="F23" s="163">
        <f>'[4]20 (20д) приб'!N44</f>
        <v>0</v>
      </c>
      <c r="G23" s="163"/>
      <c r="H23" s="173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</row>
    <row r="24" spans="2:67" ht="18" customHeight="1" x14ac:dyDescent="0.3">
      <c r="B24" s="161" t="s">
        <v>55</v>
      </c>
      <c r="C24" s="162">
        <f t="shared" si="2"/>
        <v>0</v>
      </c>
      <c r="D24" s="163"/>
      <c r="E24" s="163">
        <f>'[4]20 (20д) приб'!H44</f>
        <v>0</v>
      </c>
      <c r="F24" s="163">
        <f>'[4]20 (20д) приб'!M44</f>
        <v>0</v>
      </c>
      <c r="G24" s="163"/>
      <c r="H24" s="173"/>
    </row>
    <row r="25" spans="2:67" x14ac:dyDescent="0.3">
      <c r="B25" s="161" t="s">
        <v>56</v>
      </c>
      <c r="C25" s="162"/>
      <c r="D25" s="166" t="s">
        <v>57</v>
      </c>
      <c r="E25" s="166" t="s">
        <v>57</v>
      </c>
      <c r="F25" s="166" t="s">
        <v>57</v>
      </c>
      <c r="G25" s="166"/>
      <c r="H25" s="169"/>
    </row>
    <row r="26" spans="2:67" ht="31.2" x14ac:dyDescent="0.3">
      <c r="B26" s="161" t="s">
        <v>58</v>
      </c>
      <c r="C26" s="170">
        <f>C25+C21</f>
        <v>1583458816.0504708</v>
      </c>
      <c r="D26" s="166" t="s">
        <v>57</v>
      </c>
      <c r="E26" s="166" t="s">
        <v>57</v>
      </c>
      <c r="F26" s="166" t="s">
        <v>57</v>
      </c>
      <c r="G26" s="166"/>
      <c r="H26" s="169"/>
    </row>
    <row r="27" spans="2:67" ht="31.5" customHeight="1" x14ac:dyDescent="0.3">
      <c r="B27" s="174" t="s">
        <v>59</v>
      </c>
      <c r="C27" s="175">
        <f>SUM(D27:G27)</f>
        <v>611468.55000000005</v>
      </c>
      <c r="D27" s="176"/>
      <c r="E27" s="176">
        <f>'Расчёт трудоемкости'!E16</f>
        <v>53834.179999999993</v>
      </c>
      <c r="F27" s="176">
        <f>'Расчёт трудоемкости'!F16</f>
        <v>390644.43</v>
      </c>
      <c r="G27" s="176">
        <f>'Расчёт трудоемкости'!G16</f>
        <v>166989.94</v>
      </c>
      <c r="H27" s="177"/>
    </row>
    <row r="28" spans="2:67" ht="27.75" customHeight="1" x14ac:dyDescent="0.3"/>
    <row r="29" spans="2:67" ht="16.5" customHeight="1" x14ac:dyDescent="0.3"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</row>
    <row r="30" spans="2:67" ht="15.75" customHeight="1" x14ac:dyDescent="0.3"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</row>
    <row r="31" spans="2:67" ht="17.25" customHeight="1" x14ac:dyDescent="0.3"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</row>
    <row r="32" spans="2:67" s="16" customFormat="1" ht="30" customHeight="1" x14ac:dyDescent="0.3"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</row>
    <row r="33" spans="1:65" s="16" customFormat="1" ht="13.2" customHeight="1" x14ac:dyDescent="0.3"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</row>
    <row r="34" spans="1:65" s="16" customFormat="1" ht="13.95" customHeight="1" x14ac:dyDescent="0.3"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</row>
    <row r="35" spans="1:65" s="16" customFormat="1" ht="13.95" customHeight="1" x14ac:dyDescent="0.3"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</row>
    <row r="36" spans="1:65" s="16" customFormat="1" ht="21.75" customHeight="1" x14ac:dyDescent="0.3"/>
    <row r="37" spans="1:65" ht="28.5" customHeight="1" x14ac:dyDescent="0.3"/>
    <row r="38" spans="1:65" s="179" customFormat="1" ht="20.25" customHeight="1" x14ac:dyDescent="0.3">
      <c r="AI38" s="180"/>
      <c r="AJ38" s="180"/>
      <c r="AK38" s="180"/>
    </row>
    <row r="39" spans="1:65" ht="11.25" customHeight="1" x14ac:dyDescent="0.3">
      <c r="B39" s="144"/>
      <c r="C39" s="145"/>
      <c r="D39" s="145"/>
      <c r="E39" s="145"/>
      <c r="F39" s="145"/>
      <c r="G39" s="145"/>
      <c r="AI39" s="181"/>
      <c r="AJ39" s="181"/>
      <c r="AK39" s="181"/>
    </row>
    <row r="40" spans="1:65" ht="28.5" customHeight="1" x14ac:dyDescent="0.3">
      <c r="A40" s="16"/>
      <c r="B40" s="16"/>
      <c r="C40" s="182"/>
      <c r="D40" s="182"/>
      <c r="E40" s="182"/>
      <c r="F40" s="16"/>
      <c r="G40" s="16"/>
      <c r="AI40" s="181"/>
      <c r="AJ40" s="181"/>
      <c r="AK40" s="181"/>
    </row>
    <row r="41" spans="1:65" ht="32.25" customHeight="1" x14ac:dyDescent="0.3">
      <c r="B41" s="144"/>
      <c r="C41" s="145"/>
      <c r="D41" s="145"/>
      <c r="E41" s="145"/>
      <c r="F41" s="145"/>
      <c r="G41" s="145"/>
      <c r="AI41" s="181"/>
      <c r="AJ41" s="181"/>
      <c r="AK41" s="181"/>
    </row>
    <row r="42" spans="1:65" ht="51.75" customHeight="1" x14ac:dyDescent="0.3">
      <c r="B42" s="17"/>
      <c r="C42" s="17"/>
      <c r="D42" s="17"/>
      <c r="E42" s="17"/>
      <c r="F42" s="17"/>
      <c r="G42" s="17"/>
      <c r="AI42" s="181"/>
      <c r="AJ42" s="181"/>
      <c r="AK42" s="181"/>
    </row>
    <row r="43" spans="1:65" ht="24.75" customHeight="1" x14ac:dyDescent="0.3">
      <c r="B43" s="28"/>
      <c r="C43" s="16"/>
      <c r="D43" s="16"/>
      <c r="E43" s="16"/>
      <c r="F43" s="16"/>
      <c r="G43" s="16"/>
      <c r="AI43" s="181"/>
      <c r="AJ43" s="181"/>
      <c r="AK43" s="181"/>
    </row>
    <row r="44" spans="1:65" ht="24" customHeight="1" x14ac:dyDescent="0.3">
      <c r="B44" s="29"/>
      <c r="C44" s="19"/>
      <c r="D44" s="19"/>
      <c r="E44" s="19"/>
      <c r="F44" s="20"/>
      <c r="G44" s="20"/>
      <c r="AI44" s="181"/>
      <c r="AJ44" s="181"/>
      <c r="AK44" s="181"/>
    </row>
    <row r="45" spans="1:65" ht="15" customHeight="1" x14ac:dyDescent="0.3">
      <c r="B45" s="18"/>
      <c r="C45" s="21"/>
      <c r="D45" s="21"/>
      <c r="E45" s="21"/>
      <c r="F45" s="22"/>
      <c r="G45" s="22"/>
      <c r="AI45" s="181"/>
      <c r="AJ45" s="181"/>
      <c r="AK45" s="181"/>
    </row>
    <row r="46" spans="1:65" ht="6.75" customHeight="1" x14ac:dyDescent="0.3">
      <c r="B46" s="144"/>
      <c r="C46" s="145"/>
      <c r="D46" s="145"/>
      <c r="E46" s="145"/>
      <c r="F46" s="145"/>
      <c r="G46" s="145"/>
      <c r="AI46" s="181"/>
      <c r="AJ46" s="181"/>
      <c r="AK46" s="181"/>
    </row>
    <row r="47" spans="1:65" ht="10.5" customHeight="1" x14ac:dyDescent="0.3"/>
  </sheetData>
  <mergeCells count="5">
    <mergeCell ref="H3:H5"/>
    <mergeCell ref="B3:B5"/>
    <mergeCell ref="C4:C5"/>
    <mergeCell ref="C3:G3"/>
    <mergeCell ref="D4:G4"/>
  </mergeCells>
  <pageMargins left="0.23622047244094491" right="0.23622047244094491" top="0.32" bottom="0.34" header="0.31496062992125984" footer="0.31496062992125984"/>
  <pageSetup paperSize="9" scale="55" firstPageNumber="3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0F2B-54E4-4991-B1A5-D06452179DB7}">
  <dimension ref="A2:Q32"/>
  <sheetViews>
    <sheetView topLeftCell="A16" workbookViewId="0">
      <selection activeCell="J9" sqref="J9"/>
    </sheetView>
  </sheetViews>
  <sheetFormatPr defaultRowHeight="15.6" x14ac:dyDescent="0.3"/>
  <cols>
    <col min="1" max="1" width="31.5546875" style="145" customWidth="1"/>
    <col min="2" max="2" width="11.109375" style="145" customWidth="1"/>
    <col min="3" max="3" width="11.5546875" style="145" bestFit="1" customWidth="1"/>
    <col min="4" max="4" width="14.88671875" style="145" customWidth="1"/>
    <col min="5" max="5" width="15" style="145" bestFit="1" customWidth="1"/>
    <col min="6" max="6" width="24.109375" style="145" customWidth="1"/>
    <col min="7" max="7" width="48.109375" style="145" customWidth="1"/>
    <col min="8" max="9" width="8.88671875" style="145"/>
    <col min="10" max="10" width="68.6640625" style="145" bestFit="1" customWidth="1"/>
    <col min="11" max="11" width="20.21875" style="145" bestFit="1" customWidth="1"/>
    <col min="12" max="12" width="8.88671875" style="145"/>
    <col min="13" max="13" width="26.44140625" style="145" bestFit="1" customWidth="1"/>
    <col min="14" max="14" width="9.88671875" style="145" bestFit="1" customWidth="1"/>
    <col min="15" max="15" width="42.21875" style="145" bestFit="1" customWidth="1"/>
    <col min="16" max="16" width="12.88671875" style="145" bestFit="1" customWidth="1"/>
    <col min="17" max="16384" width="8.88671875" style="145"/>
  </cols>
  <sheetData>
    <row r="2" spans="1:10" x14ac:dyDescent="0.3">
      <c r="A2" s="221" t="s">
        <v>325</v>
      </c>
      <c r="B2" s="221"/>
      <c r="C2" s="221"/>
      <c r="D2" s="221"/>
      <c r="E2" s="221"/>
      <c r="F2" s="221"/>
      <c r="G2" s="221"/>
    </row>
    <row r="4" spans="1:10" ht="46.8" x14ac:dyDescent="0.3">
      <c r="A4" s="44" t="s">
        <v>150</v>
      </c>
      <c r="B4" s="61" t="s">
        <v>152</v>
      </c>
      <c r="C4" s="44" t="s">
        <v>151</v>
      </c>
      <c r="D4" s="61" t="s">
        <v>169</v>
      </c>
      <c r="E4" s="44" t="s">
        <v>153</v>
      </c>
      <c r="F4" s="94" t="s">
        <v>154</v>
      </c>
      <c r="G4" s="94" t="s">
        <v>155</v>
      </c>
      <c r="J4" s="236"/>
    </row>
    <row r="5" spans="1:10" ht="31.2" x14ac:dyDescent="0.3">
      <c r="A5" s="229" t="s">
        <v>173</v>
      </c>
      <c r="B5" s="61" t="s">
        <v>167</v>
      </c>
      <c r="C5" s="230">
        <v>660</v>
      </c>
      <c r="D5" s="200">
        <f>(70000/1.22)*1.052</f>
        <v>60360.655737704925</v>
      </c>
      <c r="E5" s="230">
        <f>C5*D5</f>
        <v>39838032.786885254</v>
      </c>
      <c r="F5" s="216" t="s">
        <v>175</v>
      </c>
      <c r="G5" s="231" t="s">
        <v>174</v>
      </c>
      <c r="J5" s="218"/>
    </row>
    <row r="6" spans="1:10" ht="46.8" x14ac:dyDescent="0.3">
      <c r="A6" s="229" t="s">
        <v>170</v>
      </c>
      <c r="B6" s="61" t="s">
        <v>167</v>
      </c>
      <c r="C6" s="230">
        <v>55</v>
      </c>
      <c r="D6" s="200">
        <f>(45011/1.22)*1.052</f>
        <v>38812.763934426235</v>
      </c>
      <c r="E6" s="230">
        <f>C6*D6</f>
        <v>2134702.0163934431</v>
      </c>
      <c r="F6" s="216" t="s">
        <v>172</v>
      </c>
      <c r="G6" s="231" t="s">
        <v>171</v>
      </c>
      <c r="J6" s="218"/>
    </row>
    <row r="7" spans="1:10" ht="46.8" x14ac:dyDescent="0.3">
      <c r="A7" s="229" t="s">
        <v>176</v>
      </c>
      <c r="B7" s="44" t="s">
        <v>167</v>
      </c>
      <c r="C7" s="230">
        <v>253</v>
      </c>
      <c r="D7" s="200">
        <f>(70990/1.22)*1.052</f>
        <v>61214.327868852466</v>
      </c>
      <c r="E7" s="200">
        <f>C7*D7</f>
        <v>15487224.950819673</v>
      </c>
      <c r="F7" s="216" t="s">
        <v>175</v>
      </c>
      <c r="G7" s="231" t="s">
        <v>156</v>
      </c>
      <c r="J7" s="218"/>
    </row>
    <row r="8" spans="1:10" ht="46.8" x14ac:dyDescent="0.3">
      <c r="A8" s="229" t="s">
        <v>177</v>
      </c>
      <c r="B8" s="44" t="s">
        <v>167</v>
      </c>
      <c r="C8" s="230">
        <v>234</v>
      </c>
      <c r="D8" s="200">
        <f>(112490/1.22)*1.052</f>
        <v>96999.573770491799</v>
      </c>
      <c r="E8" s="200">
        <f>C8*D8</f>
        <v>22697900.262295082</v>
      </c>
      <c r="F8" s="216" t="s">
        <v>175</v>
      </c>
      <c r="G8" s="231" t="s">
        <v>178</v>
      </c>
    </row>
    <row r="9" spans="1:10" ht="46.8" x14ac:dyDescent="0.3">
      <c r="A9" s="229" t="s">
        <v>188</v>
      </c>
      <c r="B9" s="44" t="s">
        <v>168</v>
      </c>
      <c r="C9" s="200">
        <v>130000</v>
      </c>
      <c r="D9" s="200">
        <f>700*1.043</f>
        <v>730.09999999999991</v>
      </c>
      <c r="E9" s="200">
        <f>C9*D9</f>
        <v>94912999.999999985</v>
      </c>
      <c r="F9" s="216" t="s">
        <v>179</v>
      </c>
      <c r="G9" s="231" t="s">
        <v>157</v>
      </c>
    </row>
    <row r="10" spans="1:10" ht="46.8" x14ac:dyDescent="0.3">
      <c r="A10" s="229" t="s">
        <v>180</v>
      </c>
      <c r="B10" s="44" t="s">
        <v>167</v>
      </c>
      <c r="C10" s="230">
        <v>23</v>
      </c>
      <c r="D10" s="200">
        <f>(296060/1.22)*1.052</f>
        <v>255291.08196721313</v>
      </c>
      <c r="E10" s="200">
        <f>C10*D10</f>
        <v>5871694.8852459025</v>
      </c>
      <c r="F10" s="216" t="s">
        <v>183</v>
      </c>
      <c r="G10" s="231" t="s">
        <v>184</v>
      </c>
    </row>
    <row r="11" spans="1:10" ht="78" x14ac:dyDescent="0.3">
      <c r="A11" s="229" t="s">
        <v>181</v>
      </c>
      <c r="B11" s="44" t="s">
        <v>167</v>
      </c>
      <c r="C11" s="230">
        <v>4.8</v>
      </c>
      <c r="D11" s="200">
        <f>((1600*1000)/1.22)*1.052</f>
        <v>1379672.1311475409</v>
      </c>
      <c r="E11" s="200">
        <f>C11*D11</f>
        <v>6622426.229508196</v>
      </c>
      <c r="F11" s="216" t="s">
        <v>185</v>
      </c>
      <c r="G11" s="231" t="s">
        <v>186</v>
      </c>
    </row>
    <row r="12" spans="1:10" ht="62.4" x14ac:dyDescent="0.3">
      <c r="A12" s="216" t="s">
        <v>182</v>
      </c>
      <c r="B12" s="44" t="s">
        <v>167</v>
      </c>
      <c r="C12" s="230">
        <v>3.2</v>
      </c>
      <c r="D12" s="200">
        <f>(408500/1.22)*1.052</f>
        <v>352247.5409836066</v>
      </c>
      <c r="E12" s="200">
        <f t="shared" ref="E12:E19" si="0">C12*D12</f>
        <v>1127192.1311475411</v>
      </c>
      <c r="F12" s="216" t="s">
        <v>307</v>
      </c>
      <c r="G12" s="231" t="s">
        <v>187</v>
      </c>
    </row>
    <row r="13" spans="1:10" ht="46.8" x14ac:dyDescent="0.3">
      <c r="A13" s="216" t="s">
        <v>158</v>
      </c>
      <c r="B13" s="44" t="s">
        <v>167</v>
      </c>
      <c r="C13" s="230">
        <v>75.400000000000006</v>
      </c>
      <c r="D13" s="200">
        <f>(158870/1.22)*1.04</f>
        <v>135430.16393442624</v>
      </c>
      <c r="E13" s="233">
        <f>C13*D13</f>
        <v>10211434.36065574</v>
      </c>
      <c r="F13" s="216" t="s">
        <v>308</v>
      </c>
      <c r="G13" s="231" t="s">
        <v>309</v>
      </c>
    </row>
    <row r="14" spans="1:10" ht="46.8" x14ac:dyDescent="0.3">
      <c r="A14" s="216" t="s">
        <v>159</v>
      </c>
      <c r="B14" s="44" t="s">
        <v>168</v>
      </c>
      <c r="C14" s="230">
        <v>38.1</v>
      </c>
      <c r="D14" s="200">
        <f>(811/1.22)*1.04</f>
        <v>691.3442622950821</v>
      </c>
      <c r="E14" s="230">
        <f>C14*D14</f>
        <v>26340.216393442628</v>
      </c>
      <c r="F14" s="217" t="s">
        <v>310</v>
      </c>
      <c r="G14" s="232" t="s">
        <v>160</v>
      </c>
    </row>
    <row r="15" spans="1:10" ht="46.8" x14ac:dyDescent="0.3">
      <c r="A15" s="216" t="s">
        <v>161</v>
      </c>
      <c r="B15" s="44" t="s">
        <v>311</v>
      </c>
      <c r="C15" s="230">
        <v>8.9</v>
      </c>
      <c r="D15" s="200">
        <f>(205/1.22)*1.04</f>
        <v>174.75409836065575</v>
      </c>
      <c r="E15" s="200">
        <f xml:space="preserve"> C15*D15</f>
        <v>1555.3114754098362</v>
      </c>
      <c r="F15" s="216" t="s">
        <v>312</v>
      </c>
      <c r="G15" s="231" t="s">
        <v>313</v>
      </c>
    </row>
    <row r="16" spans="1:10" ht="31.2" x14ac:dyDescent="0.3">
      <c r="A16" s="216" t="s">
        <v>162</v>
      </c>
      <c r="B16" s="44" t="s">
        <v>314</v>
      </c>
      <c r="C16" s="230">
        <v>50</v>
      </c>
      <c r="D16" s="200">
        <f>(12684/1.22)*1.042</f>
        <v>10833.383606557378</v>
      </c>
      <c r="E16" s="230">
        <f>C16*D16</f>
        <v>541669.1803278689</v>
      </c>
      <c r="F16" s="216" t="s">
        <v>315</v>
      </c>
      <c r="G16" s="231" t="s">
        <v>316</v>
      </c>
    </row>
    <row r="17" spans="1:17" ht="31.2" x14ac:dyDescent="0.3">
      <c r="A17" s="216" t="s">
        <v>163</v>
      </c>
      <c r="B17" s="44" t="s">
        <v>311</v>
      </c>
      <c r="C17" s="230">
        <v>55</v>
      </c>
      <c r="D17" s="200">
        <f>(49.8/1.22)*1.042</f>
        <v>42.53409836065574</v>
      </c>
      <c r="E17" s="230">
        <f>C17*D17</f>
        <v>2339.3754098360655</v>
      </c>
      <c r="F17" s="216" t="s">
        <v>317</v>
      </c>
      <c r="G17" s="231" t="s">
        <v>318</v>
      </c>
    </row>
    <row r="18" spans="1:17" ht="31.2" x14ac:dyDescent="0.3">
      <c r="A18" s="216" t="s">
        <v>164</v>
      </c>
      <c r="B18" s="44" t="s">
        <v>311</v>
      </c>
      <c r="C18" s="230">
        <v>25</v>
      </c>
      <c r="D18" s="200">
        <f>(470.64/1.22)*1.042</f>
        <v>401.97285245901639</v>
      </c>
      <c r="E18" s="230">
        <f>C18*D18</f>
        <v>10049.321311475411</v>
      </c>
      <c r="F18" s="216" t="s">
        <v>319</v>
      </c>
      <c r="G18" s="231" t="s">
        <v>320</v>
      </c>
    </row>
    <row r="19" spans="1:17" ht="46.8" x14ac:dyDescent="0.3">
      <c r="A19" s="216" t="s">
        <v>165</v>
      </c>
      <c r="B19" s="44" t="s">
        <v>314</v>
      </c>
      <c r="C19" s="230">
        <v>1700</v>
      </c>
      <c r="D19" s="200">
        <f>(978/1.22)*1.039</f>
        <v>832.90327868852455</v>
      </c>
      <c r="E19" s="233">
        <f>C19*D19</f>
        <v>1415935.5737704916</v>
      </c>
      <c r="F19" s="216" t="s">
        <v>321</v>
      </c>
      <c r="G19" s="231" t="s">
        <v>322</v>
      </c>
    </row>
    <row r="20" spans="1:17" ht="46.8" x14ac:dyDescent="0.3">
      <c r="A20" s="216" t="s">
        <v>166</v>
      </c>
      <c r="B20" s="44" t="s">
        <v>168</v>
      </c>
      <c r="C20" s="230">
        <v>8800</v>
      </c>
      <c r="D20" s="200">
        <f>(2805/1.22)*1.039</f>
        <v>2388.8483606557375</v>
      </c>
      <c r="E20" s="233">
        <f>C20*D20</f>
        <v>21021865.57377049</v>
      </c>
      <c r="F20" s="216" t="s">
        <v>323</v>
      </c>
      <c r="G20" s="231" t="s">
        <v>324</v>
      </c>
    </row>
    <row r="21" spans="1:17" x14ac:dyDescent="0.3">
      <c r="A21" s="234" t="s">
        <v>326</v>
      </c>
      <c r="B21" s="44"/>
      <c r="C21" s="216"/>
      <c r="D21" s="216"/>
      <c r="E21" s="235">
        <f>SUM(E5:E20)</f>
        <v>221923362.17540979</v>
      </c>
      <c r="F21" s="234"/>
      <c r="G21" s="231"/>
    </row>
    <row r="22" spans="1:17" ht="16.2" thickBot="1" x14ac:dyDescent="0.35">
      <c r="A22" s="228"/>
      <c r="B22" s="185"/>
      <c r="C22" s="183"/>
      <c r="D22" s="183"/>
      <c r="E22" s="183"/>
      <c r="F22" s="228"/>
      <c r="G22" s="184"/>
    </row>
    <row r="23" spans="1:17" ht="16.2" thickBot="1" x14ac:dyDescent="0.35">
      <c r="A23" s="187"/>
      <c r="B23" s="185"/>
      <c r="C23" s="188"/>
      <c r="D23" s="188"/>
      <c r="E23" s="188"/>
      <c r="F23" s="187"/>
      <c r="G23" s="186"/>
    </row>
    <row r="24" spans="1:17" ht="16.2" thickBot="1" x14ac:dyDescent="0.35">
      <c r="A24" s="187"/>
      <c r="B24" s="185"/>
      <c r="C24" s="188"/>
      <c r="D24" s="188"/>
      <c r="E24" s="188"/>
      <c r="F24" s="187"/>
      <c r="G24" s="186"/>
    </row>
    <row r="25" spans="1:17" ht="16.2" thickBot="1" x14ac:dyDescent="0.35">
      <c r="A25" s="187"/>
      <c r="B25" s="185"/>
      <c r="C25" s="188"/>
      <c r="D25" s="188"/>
      <c r="E25" s="188"/>
      <c r="F25" s="187"/>
      <c r="G25" s="186"/>
    </row>
    <row r="26" spans="1:17" ht="16.2" thickBot="1" x14ac:dyDescent="0.35">
      <c r="A26" s="187"/>
      <c r="B26" s="185"/>
      <c r="C26" s="188"/>
      <c r="D26" s="188"/>
      <c r="E26" s="188"/>
      <c r="F26" s="187"/>
      <c r="G26" s="186"/>
    </row>
    <row r="27" spans="1:17" ht="16.2" thickBot="1" x14ac:dyDescent="0.35">
      <c r="A27" s="187"/>
      <c r="B27" s="185"/>
      <c r="C27" s="188"/>
      <c r="D27" s="188"/>
      <c r="E27" s="188"/>
      <c r="F27" s="187"/>
      <c r="G27" s="186"/>
    </row>
    <row r="28" spans="1:17" ht="16.2" thickBot="1" x14ac:dyDescent="0.35">
      <c r="A28" s="187"/>
      <c r="B28" s="185"/>
      <c r="C28" s="188"/>
      <c r="D28" s="188"/>
      <c r="E28" s="188"/>
      <c r="F28" s="187"/>
      <c r="G28" s="186"/>
    </row>
    <row r="29" spans="1:17" ht="16.2" thickBot="1" x14ac:dyDescent="0.35">
      <c r="K29" s="187"/>
      <c r="L29" s="185"/>
      <c r="M29" s="188"/>
      <c r="N29" s="188"/>
      <c r="O29" s="188"/>
      <c r="P29" s="187"/>
      <c r="Q29" s="186"/>
    </row>
    <row r="30" spans="1:17" x14ac:dyDescent="0.3">
      <c r="A30" s="189"/>
    </row>
    <row r="31" spans="1:17" ht="16.2" thickBot="1" x14ac:dyDescent="0.35">
      <c r="A31" s="190"/>
      <c r="B31" s="191"/>
      <c r="C31" s="190"/>
      <c r="D31" s="191"/>
      <c r="E31" s="190"/>
      <c r="F31" s="190"/>
      <c r="G31" s="192"/>
    </row>
    <row r="32" spans="1:17" x14ac:dyDescent="0.3">
      <c r="A32" s="193"/>
      <c r="B32" s="193"/>
      <c r="C32" s="193"/>
      <c r="D32" s="193"/>
      <c r="E32" s="193"/>
      <c r="F32" s="193"/>
    </row>
  </sheetData>
  <mergeCells count="1">
    <mergeCell ref="A2:G2"/>
  </mergeCells>
  <hyperlinks>
    <hyperlink ref="G9" r:id="rId1" display="https://spbalum.ru/metal/alyuminievyj-list/alyuminievyj-list-amg5" xr:uid="{E0AB703D-0AAB-4102-9FDF-BC939625EE3F}"/>
    <hyperlink ref="G7" r:id="rId2" display="https://mc.ru/metalloprokat/stal_listovaya_g_k/mark/09g2s" xr:uid="{88CBF429-3CF4-4883-A5A1-F55A3100AF93}"/>
    <hyperlink ref="G6" r:id="rId3" xr:uid="{75726B62-3406-4C8D-94BB-3FF184D891F1}"/>
    <hyperlink ref="G5" r:id="rId4" xr:uid="{3FA090B8-990E-4BB6-886C-1088C1E9B0FE}"/>
    <hyperlink ref="G10" r:id="rId5" xr:uid="{5D4169D9-9E8B-4592-A6B5-CC0D72B77F83}"/>
    <hyperlink ref="G11" r:id="rId6" xr:uid="{41B6BA9F-1A84-4276-AC35-2C96375778CE}"/>
    <hyperlink ref="G17" r:id="rId7" xr:uid="{57F057E6-55BB-4BB2-A05C-76D43E6F9D87}"/>
    <hyperlink ref="G16" r:id="rId8" xr:uid="{BB4DAB43-5815-4E48-AFB4-F402E6218418}"/>
    <hyperlink ref="G14" r:id="rId9" display="https://www.inoxmarket.ru/truba_nerzhaveyushaya-c8/truba_12h18n10t-c52/" xr:uid="{1E6C8342-D6E2-48EC-A1D4-870E5A2559D5}"/>
    <hyperlink ref="G12" r:id="rId10" xr:uid="{4BCB49F5-3F4A-460D-BC13-A56456428F85}"/>
    <hyperlink ref="G15" r:id="rId11" xr:uid="{B25D714A-B141-41E9-87F9-84C033C6170A}"/>
    <hyperlink ref="G18" r:id="rId12" xr:uid="{19C91F08-D19D-47A2-87F4-D11F8F32381C}"/>
  </hyperlinks>
  <pageMargins left="0.7" right="0.7" top="0.75" bottom="0.75" header="0.3" footer="0.3"/>
  <ignoredErrors>
    <ignoredError sqref="E1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E996-2C03-48FF-AC8D-61664434EEBA}">
  <dimension ref="A4:F9"/>
  <sheetViews>
    <sheetView workbookViewId="0">
      <selection activeCell="A9" sqref="A9"/>
    </sheetView>
  </sheetViews>
  <sheetFormatPr defaultRowHeight="15.6" x14ac:dyDescent="0.3"/>
  <cols>
    <col min="1" max="1" width="38.21875" style="145" customWidth="1"/>
    <col min="2" max="2" width="20.21875" style="145" bestFit="1" customWidth="1"/>
    <col min="3" max="3" width="12.109375" style="145" bestFit="1" customWidth="1"/>
    <col min="4" max="4" width="26.44140625" style="145" bestFit="1" customWidth="1"/>
    <col min="5" max="5" width="40.6640625" style="145" customWidth="1"/>
    <col min="6" max="6" width="19.77734375" style="145" customWidth="1"/>
    <col min="7" max="16384" width="8.88671875" style="145"/>
  </cols>
  <sheetData>
    <row r="4" spans="1:6" x14ac:dyDescent="0.3">
      <c r="A4" s="44" t="s">
        <v>328</v>
      </c>
      <c r="B4" s="237" t="s">
        <v>152</v>
      </c>
      <c r="C4" s="237" t="s">
        <v>151</v>
      </c>
      <c r="D4" s="237" t="s">
        <v>169</v>
      </c>
      <c r="E4" s="237" t="s">
        <v>154</v>
      </c>
      <c r="F4" s="237" t="s">
        <v>39</v>
      </c>
    </row>
    <row r="5" spans="1:6" ht="46.8" x14ac:dyDescent="0.3">
      <c r="A5" s="217" t="s">
        <v>334</v>
      </c>
      <c r="B5" s="44" t="s">
        <v>314</v>
      </c>
      <c r="C5" s="44">
        <v>1</v>
      </c>
      <c r="D5" s="200">
        <v>67580000</v>
      </c>
      <c r="E5" s="44" t="s">
        <v>329</v>
      </c>
      <c r="F5" s="61" t="s">
        <v>335</v>
      </c>
    </row>
    <row r="6" spans="1:6" ht="46.8" x14ac:dyDescent="0.3">
      <c r="A6" s="217" t="s">
        <v>330</v>
      </c>
      <c r="B6" s="44" t="s">
        <v>314</v>
      </c>
      <c r="C6" s="44">
        <v>1</v>
      </c>
      <c r="D6" s="200">
        <v>13500000</v>
      </c>
      <c r="E6" s="44" t="s">
        <v>331</v>
      </c>
      <c r="F6" s="61" t="s">
        <v>336</v>
      </c>
    </row>
    <row r="7" spans="1:6" ht="31.2" x14ac:dyDescent="0.3">
      <c r="A7" s="217" t="s">
        <v>338</v>
      </c>
      <c r="B7" s="44" t="s">
        <v>314</v>
      </c>
      <c r="C7" s="44">
        <v>1</v>
      </c>
      <c r="D7" s="200">
        <v>36800000</v>
      </c>
      <c r="E7" s="61" t="s">
        <v>339</v>
      </c>
      <c r="F7" s="61" t="s">
        <v>337</v>
      </c>
    </row>
    <row r="8" spans="1:6" ht="46.8" x14ac:dyDescent="0.3">
      <c r="A8" s="217" t="s">
        <v>332</v>
      </c>
      <c r="B8" s="44" t="s">
        <v>314</v>
      </c>
      <c r="C8" s="44">
        <v>1</v>
      </c>
      <c r="D8" s="200">
        <v>228000000</v>
      </c>
      <c r="E8" s="44" t="s">
        <v>333</v>
      </c>
      <c r="F8" s="61" t="s">
        <v>340</v>
      </c>
    </row>
    <row r="9" spans="1:6" x14ac:dyDescent="0.3">
      <c r="A9" s="210" t="s">
        <v>341</v>
      </c>
      <c r="B9" s="63"/>
      <c r="C9" s="63"/>
      <c r="D9" s="211">
        <f>SUM(D5:D8)</f>
        <v>345880000</v>
      </c>
      <c r="E9" s="63"/>
      <c r="F9" s="6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DF26-69CE-49E2-B518-79EA97AA6616}">
  <dimension ref="A2:G16"/>
  <sheetViews>
    <sheetView topLeftCell="A4" workbookViewId="0">
      <selection activeCell="A2" sqref="A2:G2"/>
    </sheetView>
  </sheetViews>
  <sheetFormatPr defaultRowHeight="15.6" x14ac:dyDescent="0.3"/>
  <cols>
    <col min="1" max="1" width="38.21875" style="145" bestFit="1" customWidth="1"/>
    <col min="2" max="2" width="34.6640625" style="145" bestFit="1" customWidth="1"/>
    <col min="3" max="3" width="14.33203125" style="145" bestFit="1" customWidth="1"/>
    <col min="4" max="4" width="23.21875" style="145" customWidth="1"/>
    <col min="5" max="5" width="9.88671875" style="145" bestFit="1" customWidth="1"/>
    <col min="6" max="7" width="11" style="145" bestFit="1" customWidth="1"/>
    <col min="8" max="16384" width="8.88671875" style="145"/>
  </cols>
  <sheetData>
    <row r="2" spans="1:7" x14ac:dyDescent="0.3">
      <c r="A2" s="221" t="s">
        <v>303</v>
      </c>
      <c r="B2" s="221"/>
      <c r="C2" s="221"/>
      <c r="D2" s="221"/>
      <c r="E2" s="221"/>
      <c r="F2" s="221"/>
      <c r="G2" s="221"/>
    </row>
    <row r="3" spans="1:7" ht="16.2" thickBot="1" x14ac:dyDescent="0.35"/>
    <row r="4" spans="1:7" ht="27.6" customHeight="1" x14ac:dyDescent="0.3">
      <c r="A4" s="31" t="s">
        <v>149</v>
      </c>
      <c r="B4" s="33" t="s">
        <v>189</v>
      </c>
      <c r="C4" s="34"/>
      <c r="D4" s="34"/>
      <c r="E4" s="194" t="s">
        <v>190</v>
      </c>
      <c r="F4" s="195"/>
      <c r="G4" s="196"/>
    </row>
    <row r="5" spans="1:7" ht="14.4" customHeight="1" x14ac:dyDescent="0.3">
      <c r="A5" s="35"/>
      <c r="B5" s="31" t="s">
        <v>7</v>
      </c>
      <c r="C5" s="31" t="s">
        <v>19</v>
      </c>
      <c r="D5" s="41" t="s">
        <v>8</v>
      </c>
      <c r="E5" s="197">
        <v>2027</v>
      </c>
      <c r="F5" s="198">
        <v>2028</v>
      </c>
      <c r="G5" s="199">
        <v>2029</v>
      </c>
    </row>
    <row r="6" spans="1:7" ht="34.200000000000003" customHeight="1" x14ac:dyDescent="0.3">
      <c r="A6" s="32"/>
      <c r="B6" s="32"/>
      <c r="C6" s="32"/>
      <c r="D6" s="42"/>
      <c r="E6" s="197"/>
      <c r="F6" s="198"/>
      <c r="G6" s="199"/>
    </row>
    <row r="7" spans="1:7" ht="31.2" x14ac:dyDescent="0.3">
      <c r="A7" s="217" t="s">
        <v>191</v>
      </c>
      <c r="B7" s="44" t="s">
        <v>10</v>
      </c>
      <c r="C7" s="200">
        <v>33750</v>
      </c>
      <c r="D7" s="201">
        <f>33750*1.05</f>
        <v>35437.5</v>
      </c>
      <c r="E7" s="202">
        <v>10839.71</v>
      </c>
      <c r="F7" s="200">
        <v>24597.79</v>
      </c>
      <c r="G7" s="203" t="s">
        <v>192</v>
      </c>
    </row>
    <row r="8" spans="1:7" ht="31.2" x14ac:dyDescent="0.3">
      <c r="A8" s="218" t="s">
        <v>193</v>
      </c>
      <c r="B8" s="45" t="s">
        <v>11</v>
      </c>
      <c r="C8" s="200">
        <v>81397</v>
      </c>
      <c r="D8" s="201">
        <f>81397*1.05</f>
        <v>85466.85</v>
      </c>
      <c r="E8" s="202">
        <v>26142.799999999999</v>
      </c>
      <c r="F8" s="200">
        <v>59324.05</v>
      </c>
      <c r="G8" s="203" t="s">
        <v>192</v>
      </c>
    </row>
    <row r="9" spans="1:7" x14ac:dyDescent="0.3">
      <c r="A9" s="217" t="s">
        <v>194</v>
      </c>
      <c r="B9" s="44" t="s">
        <v>17</v>
      </c>
      <c r="C9" s="200">
        <v>73456</v>
      </c>
      <c r="D9" s="201">
        <f>C9*1.05</f>
        <v>77128.800000000003</v>
      </c>
      <c r="E9" s="202">
        <v>16851.669999999998</v>
      </c>
      <c r="F9" s="200">
        <v>60277.13</v>
      </c>
      <c r="G9" s="203" t="s">
        <v>192</v>
      </c>
    </row>
    <row r="10" spans="1:7" ht="31.2" x14ac:dyDescent="0.3">
      <c r="A10" s="218" t="s">
        <v>195</v>
      </c>
      <c r="B10" s="44" t="s">
        <v>12</v>
      </c>
      <c r="C10" s="200">
        <v>94632</v>
      </c>
      <c r="D10" s="201">
        <f>94632*1.05</f>
        <v>99363.6</v>
      </c>
      <c r="E10" s="202" t="s">
        <v>192</v>
      </c>
      <c r="F10" s="200">
        <v>99363.6</v>
      </c>
      <c r="G10" s="203" t="s">
        <v>192</v>
      </c>
    </row>
    <row r="11" spans="1:7" x14ac:dyDescent="0.3">
      <c r="A11" s="217" t="s">
        <v>196</v>
      </c>
      <c r="B11" s="44" t="s">
        <v>14</v>
      </c>
      <c r="C11" s="200">
        <v>41691</v>
      </c>
      <c r="D11" s="201">
        <f>41691*1.05</f>
        <v>43775.55</v>
      </c>
      <c r="E11" s="202" t="s">
        <v>192</v>
      </c>
      <c r="F11" s="200">
        <v>43775.55</v>
      </c>
      <c r="G11" s="203" t="s">
        <v>192</v>
      </c>
    </row>
    <row r="12" spans="1:7" s="206" customFormat="1" x14ac:dyDescent="0.3">
      <c r="A12" s="219" t="s">
        <v>197</v>
      </c>
      <c r="B12" s="94" t="s">
        <v>13</v>
      </c>
      <c r="C12" s="204">
        <v>46985</v>
      </c>
      <c r="D12" s="205">
        <f>46985*1.05</f>
        <v>49334.25</v>
      </c>
      <c r="E12" s="202" t="s">
        <v>192</v>
      </c>
      <c r="F12" s="204">
        <v>49334.25</v>
      </c>
      <c r="G12" s="203" t="s">
        <v>192</v>
      </c>
    </row>
    <row r="13" spans="1:7" ht="28.8" customHeight="1" x14ac:dyDescent="0.3">
      <c r="A13" s="220" t="s">
        <v>301</v>
      </c>
      <c r="B13" s="44" t="s">
        <v>15</v>
      </c>
      <c r="C13" s="200">
        <v>107867</v>
      </c>
      <c r="D13" s="201">
        <f>107867*1.05</f>
        <v>113260.35</v>
      </c>
      <c r="E13" s="202" t="s">
        <v>192</v>
      </c>
      <c r="F13" s="200">
        <v>36203.449999999997</v>
      </c>
      <c r="G13" s="203">
        <v>77056.899999999994</v>
      </c>
    </row>
    <row r="14" spans="1:7" x14ac:dyDescent="0.3">
      <c r="A14" s="220"/>
      <c r="B14" s="94" t="s">
        <v>18</v>
      </c>
      <c r="C14" s="200">
        <v>52941</v>
      </c>
      <c r="D14" s="201">
        <f>C14*1.05</f>
        <v>55588.05</v>
      </c>
      <c r="E14" s="202" t="s">
        <v>192</v>
      </c>
      <c r="F14" s="200">
        <v>17768.61</v>
      </c>
      <c r="G14" s="203">
        <v>37819.440000000002</v>
      </c>
    </row>
    <row r="15" spans="1:7" x14ac:dyDescent="0.3">
      <c r="A15" s="217" t="s">
        <v>302</v>
      </c>
      <c r="B15" s="45" t="s">
        <v>16</v>
      </c>
      <c r="C15" s="207">
        <v>49632</v>
      </c>
      <c r="D15" s="208">
        <f>49632*1.05</f>
        <v>52113.600000000006</v>
      </c>
      <c r="E15" s="202" t="s">
        <v>192</v>
      </c>
      <c r="F15" s="200" t="s">
        <v>192</v>
      </c>
      <c r="G15" s="203">
        <v>52113.599999999999</v>
      </c>
    </row>
    <row r="16" spans="1:7" ht="16.2" thickBot="1" x14ac:dyDescent="0.35">
      <c r="A16" s="209" t="s">
        <v>21</v>
      </c>
      <c r="B16" s="210"/>
      <c r="C16" s="211">
        <f>SUM(C7:C15)</f>
        <v>582351</v>
      </c>
      <c r="D16" s="212">
        <f>SUM(D7:D15)</f>
        <v>611468.55000000005</v>
      </c>
      <c r="E16" s="213">
        <f>SUM(E7:E15)</f>
        <v>53834.179999999993</v>
      </c>
      <c r="F16" s="214">
        <f t="shared" ref="E16:G16" si="0">SUM(F7:F15)</f>
        <v>390644.43</v>
      </c>
      <c r="G16" s="215">
        <f t="shared" si="0"/>
        <v>166989.94</v>
      </c>
    </row>
  </sheetData>
  <mergeCells count="11">
    <mergeCell ref="A2:G2"/>
    <mergeCell ref="A13:A14"/>
    <mergeCell ref="E5:E6"/>
    <mergeCell ref="F5:F6"/>
    <mergeCell ref="G5:G6"/>
    <mergeCell ref="E4:G4"/>
    <mergeCell ref="C5:C6"/>
    <mergeCell ref="A4:A6"/>
    <mergeCell ref="B4:D4"/>
    <mergeCell ref="B5:B6"/>
    <mergeCell ref="D5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3"/>
  <sheetViews>
    <sheetView workbookViewId="0">
      <selection activeCell="D10" sqref="D10"/>
    </sheetView>
  </sheetViews>
  <sheetFormatPr defaultRowHeight="13.8" x14ac:dyDescent="0.25"/>
  <cols>
    <col min="1" max="1" width="45.109375" style="95" bestFit="1" customWidth="1"/>
    <col min="2" max="2" width="13.88671875" style="95" customWidth="1"/>
    <col min="3" max="3" width="16.6640625" style="95" customWidth="1"/>
    <col min="4" max="4" width="21.5546875" style="95" bestFit="1" customWidth="1"/>
    <col min="5" max="5" width="10" style="95" bestFit="1" customWidth="1"/>
    <col min="6" max="6" width="13.5546875" style="95" bestFit="1" customWidth="1"/>
    <col min="7" max="7" width="9" style="95" bestFit="1" customWidth="1"/>
    <col min="8" max="8" width="14.44140625" style="95" bestFit="1" customWidth="1"/>
    <col min="9" max="9" width="8.88671875" style="95"/>
    <col min="10" max="10" width="10.21875" style="95" customWidth="1"/>
    <col min="11" max="11" width="8.88671875" style="95"/>
    <col min="12" max="12" width="10.33203125" style="95" customWidth="1"/>
    <col min="13" max="16384" width="8.88671875" style="95"/>
  </cols>
  <sheetData>
    <row r="2" spans="1:12" s="95" customFormat="1" x14ac:dyDescent="0.25">
      <c r="A2" s="128" t="s">
        <v>267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4" spans="1:12" s="95" customFormat="1" ht="15.6" customHeight="1" x14ac:dyDescent="0.25">
      <c r="A4" s="129" t="s">
        <v>7</v>
      </c>
      <c r="B4" s="130" t="s">
        <v>198</v>
      </c>
      <c r="C4" s="130"/>
      <c r="D4" s="130"/>
      <c r="E4" s="130"/>
      <c r="F4" s="130"/>
      <c r="G4" s="130"/>
      <c r="H4" s="130"/>
      <c r="I4" s="130"/>
      <c r="J4" s="130"/>
      <c r="K4" s="130"/>
      <c r="L4" s="131"/>
    </row>
    <row r="5" spans="1:12" s="95" customFormat="1" ht="45.6" customHeight="1" x14ac:dyDescent="0.25">
      <c r="A5" s="129"/>
      <c r="B5" s="129" t="s">
        <v>8</v>
      </c>
      <c r="C5" s="129" t="s">
        <v>9</v>
      </c>
      <c r="D5" s="129" t="s">
        <v>0</v>
      </c>
      <c r="E5" s="132" t="s">
        <v>1</v>
      </c>
      <c r="F5" s="132"/>
      <c r="G5" s="132" t="s">
        <v>2</v>
      </c>
      <c r="H5" s="132"/>
      <c r="I5" s="132" t="s">
        <v>3</v>
      </c>
      <c r="J5" s="132"/>
      <c r="K5" s="132" t="s">
        <v>4</v>
      </c>
      <c r="L5" s="132"/>
    </row>
    <row r="6" spans="1:12" s="95" customFormat="1" ht="28.2" thickBot="1" x14ac:dyDescent="0.3">
      <c r="A6" s="133"/>
      <c r="B6" s="133"/>
      <c r="C6" s="133"/>
      <c r="D6" s="133"/>
      <c r="E6" s="134" t="s">
        <v>5</v>
      </c>
      <c r="F6" s="134" t="s">
        <v>6</v>
      </c>
      <c r="G6" s="134" t="s">
        <v>5</v>
      </c>
      <c r="H6" s="134" t="s">
        <v>6</v>
      </c>
      <c r="I6" s="134" t="s">
        <v>5</v>
      </c>
      <c r="J6" s="134" t="s">
        <v>6</v>
      </c>
      <c r="K6" s="134" t="s">
        <v>5</v>
      </c>
      <c r="L6" s="134" t="s">
        <v>6</v>
      </c>
    </row>
    <row r="7" spans="1:12" s="95" customFormat="1" ht="14.4" thickBot="1" x14ac:dyDescent="0.3">
      <c r="A7" s="135" t="s">
        <v>199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7"/>
    </row>
    <row r="8" spans="1:12" s="95" customFormat="1" x14ac:dyDescent="0.25">
      <c r="A8" s="115" t="s">
        <v>10</v>
      </c>
      <c r="B8" s="116">
        <f>'Расчёт трудоемкости'!E7</f>
        <v>10839.71</v>
      </c>
      <c r="C8" s="116">
        <f>1043.15*1.081</f>
        <v>1127.6451500000001</v>
      </c>
      <c r="D8" s="116">
        <f t="shared" ref="D8:D20" si="0">B8*C8</f>
        <v>12223346.408906499</v>
      </c>
      <c r="E8" s="117">
        <f>ДЗП_расчёт!B$10</f>
        <v>0.13360323886639677</v>
      </c>
      <c r="F8" s="116">
        <f>D8*E8</f>
        <v>1633078.6700158482</v>
      </c>
      <c r="G8" s="118">
        <f>Соц_страх_расчёт!C$8</f>
        <v>0.32800000000000007</v>
      </c>
      <c r="H8" s="116">
        <f>(D8+F8)*G8</f>
        <v>4544907.4258865304</v>
      </c>
      <c r="I8" s="119"/>
      <c r="J8" s="119"/>
      <c r="K8" s="119"/>
      <c r="L8" s="119"/>
    </row>
    <row r="9" spans="1:12" s="95" customFormat="1" x14ac:dyDescent="0.25">
      <c r="A9" s="120" t="s">
        <v>11</v>
      </c>
      <c r="B9" s="113">
        <f>'Расчёт трудоемкости'!E8</f>
        <v>26142.799999999999</v>
      </c>
      <c r="C9" s="113">
        <f>C8</f>
        <v>1127.6451500000001</v>
      </c>
      <c r="D9" s="113">
        <f t="shared" si="0"/>
        <v>29479801.627420001</v>
      </c>
      <c r="E9" s="117">
        <f>ДЗП_расчёт!B$10</f>
        <v>0.13360323886639677</v>
      </c>
      <c r="F9" s="116">
        <f t="shared" ref="F9:F10" si="1">D9*E9</f>
        <v>3938596.9785621865</v>
      </c>
      <c r="G9" s="121">
        <f>Соц_страх_расчёт!C$8</f>
        <v>0.32800000000000007</v>
      </c>
      <c r="H9" s="113">
        <f t="shared" ref="H9:H20" si="2">(D9+F9)*G9</f>
        <v>10961234.74276216</v>
      </c>
      <c r="I9" s="112"/>
      <c r="J9" s="112"/>
      <c r="K9" s="112"/>
      <c r="L9" s="112"/>
    </row>
    <row r="10" spans="1:12" s="95" customFormat="1" x14ac:dyDescent="0.25">
      <c r="A10" s="120" t="s">
        <v>17</v>
      </c>
      <c r="B10" s="113">
        <f>'Расчёт трудоемкости'!E9</f>
        <v>16851.669999999998</v>
      </c>
      <c r="C10" s="113">
        <f>919.97*1.081</f>
        <v>994.48757000000001</v>
      </c>
      <c r="D10" s="113">
        <f>B10*C10</f>
        <v>16758776.348741898</v>
      </c>
      <c r="E10" s="117">
        <f>ДЗП_расчёт!B$10</f>
        <v>0.13360323886639677</v>
      </c>
      <c r="F10" s="116">
        <f t="shared" si="1"/>
        <v>2239026.7996294848</v>
      </c>
      <c r="G10" s="121">
        <f>Соц_страх_расчёт!C$8</f>
        <v>0.32800000000000007</v>
      </c>
      <c r="H10" s="113">
        <f>(D10+F10)*G10</f>
        <v>6231279.4326658156</v>
      </c>
      <c r="I10" s="112"/>
      <c r="J10" s="112"/>
      <c r="K10" s="112"/>
      <c r="L10" s="112"/>
    </row>
    <row r="11" spans="1:12" s="108" customFormat="1" ht="14.4" thickBot="1" x14ac:dyDescent="0.3">
      <c r="A11" s="122" t="s">
        <v>200</v>
      </c>
      <c r="B11" s="123">
        <f>SUM(B8:B10)</f>
        <v>53834.179999999993</v>
      </c>
      <c r="C11" s="123"/>
      <c r="D11" s="123">
        <f t="shared" ref="D11:L11" si="3">SUM(D8:D10)</f>
        <v>58461924.385068394</v>
      </c>
      <c r="E11" s="123"/>
      <c r="F11" s="123">
        <f t="shared" si="3"/>
        <v>7810702.4482075199</v>
      </c>
      <c r="G11" s="123"/>
      <c r="H11" s="123">
        <f t="shared" si="3"/>
        <v>21737421.601314507</v>
      </c>
      <c r="I11" s="123"/>
      <c r="J11" s="123">
        <f t="shared" si="3"/>
        <v>0</v>
      </c>
      <c r="K11" s="123"/>
      <c r="L11" s="123">
        <f t="shared" si="3"/>
        <v>0</v>
      </c>
    </row>
    <row r="12" spans="1:12" s="108" customFormat="1" ht="14.4" thickBot="1" x14ac:dyDescent="0.3">
      <c r="A12" s="138" t="s">
        <v>201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40"/>
    </row>
    <row r="13" spans="1:12" s="108" customFormat="1" x14ac:dyDescent="0.25">
      <c r="A13" s="115" t="s">
        <v>10</v>
      </c>
      <c r="B13" s="116">
        <f>'Расчёт трудоемкости'!F7</f>
        <v>24597.79</v>
      </c>
      <c r="C13" s="116">
        <f>1043.15*1.155</f>
        <v>1204.8382500000002</v>
      </c>
      <c r="D13" s="116">
        <f t="shared" si="0"/>
        <v>29636358.257467508</v>
      </c>
      <c r="E13" s="117">
        <f>ДЗП_расчёт!B$10</f>
        <v>0.13360323886639677</v>
      </c>
      <c r="F13" s="116">
        <f>D13*E13</f>
        <v>3959513.4514025417</v>
      </c>
      <c r="G13" s="118">
        <f>Соц_страх_расчёт!C$8</f>
        <v>0.32800000000000007</v>
      </c>
      <c r="H13" s="116">
        <f>(D13+F13)*G13</f>
        <v>11019445.920509379</v>
      </c>
      <c r="I13" s="119"/>
      <c r="J13" s="119"/>
      <c r="K13" s="119"/>
      <c r="L13" s="119"/>
    </row>
    <row r="14" spans="1:12" s="108" customFormat="1" x14ac:dyDescent="0.25">
      <c r="A14" s="115" t="s">
        <v>11</v>
      </c>
      <c r="B14" s="113">
        <f>'Расчёт трудоемкости'!F8</f>
        <v>59324.05</v>
      </c>
      <c r="C14" s="116">
        <f>C13</f>
        <v>1204.8382500000002</v>
      </c>
      <c r="D14" s="113">
        <f t="shared" si="0"/>
        <v>71475884.584912524</v>
      </c>
      <c r="E14" s="117">
        <f>ДЗП_расчёт!B$10</f>
        <v>0.13360323886639677</v>
      </c>
      <c r="F14" s="113">
        <f t="shared" ref="F9:F20" si="4">D14*E14</f>
        <v>9549409.6813850757</v>
      </c>
      <c r="G14" s="121">
        <f>Соц_страх_расчёт!C$8</f>
        <v>0.32800000000000007</v>
      </c>
      <c r="H14" s="113">
        <f t="shared" si="2"/>
        <v>26576296.519345615</v>
      </c>
      <c r="I14" s="112"/>
      <c r="J14" s="112"/>
      <c r="K14" s="112"/>
      <c r="L14" s="112"/>
    </row>
    <row r="15" spans="1:12" s="108" customFormat="1" x14ac:dyDescent="0.25">
      <c r="A15" s="120" t="s">
        <v>17</v>
      </c>
      <c r="B15" s="113">
        <f>'Расчёт трудоемкости'!F9</f>
        <v>60277.13</v>
      </c>
      <c r="C15" s="116">
        <f>919.97*1.155</f>
        <v>1062.5653500000001</v>
      </c>
      <c r="D15" s="113">
        <f t="shared" si="0"/>
        <v>64048389.735445499</v>
      </c>
      <c r="E15" s="117">
        <f>ДЗП_расчёт!B$10</f>
        <v>0.13360323886639677</v>
      </c>
      <c r="F15" s="113">
        <f t="shared" si="4"/>
        <v>8557072.3128328007</v>
      </c>
      <c r="G15" s="121">
        <f>Соц_страх_расчёт!C$8</f>
        <v>0.32800000000000007</v>
      </c>
      <c r="H15" s="113">
        <f t="shared" si="2"/>
        <v>23814591.551835287</v>
      </c>
      <c r="I15" s="112"/>
      <c r="J15" s="112"/>
      <c r="K15" s="112"/>
      <c r="L15" s="112"/>
    </row>
    <row r="16" spans="1:12" s="108" customFormat="1" x14ac:dyDescent="0.25">
      <c r="A16" s="120" t="s">
        <v>12</v>
      </c>
      <c r="B16" s="113">
        <f>'Расчёт трудоемкости'!F10</f>
        <v>99363.6</v>
      </c>
      <c r="C16" s="116">
        <f>C14</f>
        <v>1204.8382500000002</v>
      </c>
      <c r="D16" s="113">
        <f t="shared" si="0"/>
        <v>119717065.93770003</v>
      </c>
      <c r="E16" s="117">
        <f>ДЗП_расчёт!B$10</f>
        <v>0.13360323886639677</v>
      </c>
      <c r="F16" s="113">
        <f t="shared" si="4"/>
        <v>15994587.75685871</v>
      </c>
      <c r="G16" s="121">
        <f>Соц_страх_расчёт!C$8</f>
        <v>0.32800000000000007</v>
      </c>
      <c r="H16" s="113">
        <f t="shared" si="2"/>
        <v>44513422.411815278</v>
      </c>
      <c r="I16" s="112"/>
      <c r="J16" s="112"/>
      <c r="K16" s="112"/>
      <c r="L16" s="112"/>
    </row>
    <row r="17" spans="1:12" s="108" customFormat="1" x14ac:dyDescent="0.25">
      <c r="A17" s="120" t="s">
        <v>14</v>
      </c>
      <c r="B17" s="113">
        <f>'Расчёт трудоемкости'!F11</f>
        <v>43775.55</v>
      </c>
      <c r="C17" s="116">
        <f>1146.25*1.155</f>
        <v>1323.91875</v>
      </c>
      <c r="D17" s="113">
        <f t="shared" si="0"/>
        <v>57955271.436562508</v>
      </c>
      <c r="E17" s="117">
        <f>ДЗП_расчёт!B$10</f>
        <v>0.13360323886639677</v>
      </c>
      <c r="F17" s="113">
        <f t="shared" si="4"/>
        <v>7743011.9733059229</v>
      </c>
      <c r="G17" s="121">
        <f>Соц_страх_расчёт!C$8</f>
        <v>0.32800000000000007</v>
      </c>
      <c r="H17" s="113">
        <f t="shared" si="2"/>
        <v>21549036.95843685</v>
      </c>
      <c r="I17" s="112"/>
      <c r="J17" s="112"/>
      <c r="K17" s="112"/>
      <c r="L17" s="112"/>
    </row>
    <row r="18" spans="1:12" s="108" customFormat="1" x14ac:dyDescent="0.25">
      <c r="A18" s="99" t="s">
        <v>13</v>
      </c>
      <c r="B18" s="113">
        <f>'Расчёт трудоемкости'!F12</f>
        <v>49334.25</v>
      </c>
      <c r="C18" s="116">
        <f>C17</f>
        <v>1323.91875</v>
      </c>
      <c r="D18" s="113">
        <f t="shared" si="0"/>
        <v>65314538.592187501</v>
      </c>
      <c r="E18" s="117">
        <f>ДЗП_расчёт!B$10</f>
        <v>0.13360323886639677</v>
      </c>
      <c r="F18" s="113">
        <f t="shared" si="4"/>
        <v>8726233.9009805173</v>
      </c>
      <c r="G18" s="121">
        <f>Соц_страх_расчёт!C$8</f>
        <v>0.32800000000000007</v>
      </c>
      <c r="H18" s="113">
        <f t="shared" si="2"/>
        <v>24285373.377759118</v>
      </c>
      <c r="I18" s="112"/>
      <c r="J18" s="112"/>
      <c r="K18" s="112"/>
      <c r="L18" s="112"/>
    </row>
    <row r="19" spans="1:12" s="95" customFormat="1" x14ac:dyDescent="0.25">
      <c r="A19" s="120" t="s">
        <v>15</v>
      </c>
      <c r="B19" s="113">
        <f>'Расчёт трудоемкости'!F13</f>
        <v>36203.449999999997</v>
      </c>
      <c r="C19" s="116">
        <f>909.05*1.155</f>
        <v>1049.9527499999999</v>
      </c>
      <c r="D19" s="113">
        <f t="shared" si="0"/>
        <v>38011911.886987492</v>
      </c>
      <c r="E19" s="117">
        <f>ДЗП_расчёт!B$10</f>
        <v>0.13360323886639677</v>
      </c>
      <c r="F19" s="113">
        <f t="shared" si="4"/>
        <v>5078514.5436056172</v>
      </c>
      <c r="G19" s="121">
        <f>Соц_страх_расчёт!C$8</f>
        <v>0.32800000000000007</v>
      </c>
      <c r="H19" s="113">
        <f t="shared" si="2"/>
        <v>14133659.869234543</v>
      </c>
      <c r="I19" s="112"/>
      <c r="J19" s="112"/>
      <c r="K19" s="112"/>
      <c r="L19" s="112"/>
    </row>
    <row r="20" spans="1:12" s="95" customFormat="1" x14ac:dyDescent="0.25">
      <c r="A20" s="99" t="s">
        <v>18</v>
      </c>
      <c r="B20" s="113">
        <f>'Расчёт трудоемкости'!F14</f>
        <v>17768.61</v>
      </c>
      <c r="C20" s="116">
        <f>979.36*1.155</f>
        <v>1131.1608000000001</v>
      </c>
      <c r="D20" s="113">
        <f t="shared" si="0"/>
        <v>20099155.102488004</v>
      </c>
      <c r="E20" s="117">
        <f>ДЗП_расчёт!B$10</f>
        <v>0.13360323886639677</v>
      </c>
      <c r="F20" s="113">
        <f t="shared" si="4"/>
        <v>2685312.220170462</v>
      </c>
      <c r="G20" s="121">
        <f>Соц_страх_расчёт!C$8</f>
        <v>0.32800000000000007</v>
      </c>
      <c r="H20" s="113">
        <f t="shared" si="2"/>
        <v>7473305.2818319779</v>
      </c>
      <c r="I20" s="112"/>
      <c r="J20" s="112"/>
      <c r="K20" s="112"/>
      <c r="L20" s="112"/>
    </row>
    <row r="21" spans="1:12" s="108" customFormat="1" ht="14.4" thickBot="1" x14ac:dyDescent="0.3">
      <c r="A21" s="122" t="s">
        <v>202</v>
      </c>
      <c r="B21" s="123">
        <f>SUM(B13:B20)</f>
        <v>390644.43</v>
      </c>
      <c r="C21" s="123"/>
      <c r="D21" s="123">
        <f t="shared" ref="D21:L21" si="5">SUM(D13:D20)</f>
        <v>466258575.53375113</v>
      </c>
      <c r="E21" s="123"/>
      <c r="F21" s="123">
        <f t="shared" si="5"/>
        <v>62293655.840541646</v>
      </c>
      <c r="G21" s="123"/>
      <c r="H21" s="123">
        <f t="shared" si="5"/>
        <v>173365131.89076805</v>
      </c>
      <c r="I21" s="123"/>
      <c r="J21" s="123">
        <f t="shared" si="5"/>
        <v>0</v>
      </c>
      <c r="K21" s="123"/>
      <c r="L21" s="123">
        <f t="shared" si="5"/>
        <v>0</v>
      </c>
    </row>
    <row r="22" spans="1:12" s="108" customFormat="1" ht="14.4" thickBot="1" x14ac:dyDescent="0.3">
      <c r="A22" s="141" t="s">
        <v>203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3"/>
    </row>
    <row r="23" spans="1:12" s="108" customFormat="1" x14ac:dyDescent="0.25">
      <c r="A23" s="120" t="s">
        <v>15</v>
      </c>
      <c r="B23" s="113">
        <f>'Расчёт трудоемкости'!G13</f>
        <v>77056.899999999994</v>
      </c>
      <c r="C23" s="113">
        <f>921.17*1.235</f>
        <v>1137.6449500000001</v>
      </c>
      <c r="D23" s="116">
        <f t="shared" ref="D23:D25" si="6">B23*C23</f>
        <v>87663393.147654995</v>
      </c>
      <c r="E23" s="121">
        <f>ДЗП_расчёт!B$10</f>
        <v>0.13360323886639677</v>
      </c>
      <c r="F23" s="113">
        <f>D23*E23</f>
        <v>11712113.254545001</v>
      </c>
      <c r="G23" s="118">
        <f>Соц_страх_расчёт!C$8</f>
        <v>0.32800000000000007</v>
      </c>
      <c r="H23" s="113">
        <f>(D23+F23)*G23</f>
        <v>32595166.099921606</v>
      </c>
      <c r="I23" s="113"/>
      <c r="J23" s="113"/>
      <c r="K23" s="113"/>
      <c r="L23" s="113"/>
    </row>
    <row r="24" spans="1:12" s="108" customFormat="1" x14ac:dyDescent="0.25">
      <c r="A24" s="99" t="s">
        <v>18</v>
      </c>
      <c r="B24" s="113">
        <f>'Расчёт трудоемкости'!G14</f>
        <v>37819.440000000002</v>
      </c>
      <c r="C24" s="113">
        <f>979.36*1.235</f>
        <v>1209.5096000000001</v>
      </c>
      <c r="D24" s="116">
        <f t="shared" si="6"/>
        <v>45742975.746624008</v>
      </c>
      <c r="E24" s="121">
        <f>ДЗП_расчёт!B$10</f>
        <v>0.13360323886639677</v>
      </c>
      <c r="F24" s="113">
        <f t="shared" ref="F24:F25" si="7">D24*E24</f>
        <v>6111409.7151360018</v>
      </c>
      <c r="G24" s="118">
        <f>Соц_страх_расчёт!C$8</f>
        <v>0.32800000000000007</v>
      </c>
      <c r="H24" s="113">
        <f t="shared" ref="H24:H25" si="8">(D24+F24)*G24</f>
        <v>17008238.431457285</v>
      </c>
      <c r="I24" s="113"/>
      <c r="J24" s="113"/>
      <c r="K24" s="113"/>
      <c r="L24" s="113"/>
    </row>
    <row r="25" spans="1:12" s="124" customFormat="1" ht="14.4" x14ac:dyDescent="0.3">
      <c r="A25" s="115" t="s">
        <v>16</v>
      </c>
      <c r="B25" s="113">
        <f>'Расчёт трудоемкости'!G15</f>
        <v>52113.599999999999</v>
      </c>
      <c r="C25" s="113">
        <f>921.45*1.235</f>
        <v>1137.9907500000002</v>
      </c>
      <c r="D25" s="116">
        <f t="shared" si="6"/>
        <v>59304794.749200009</v>
      </c>
      <c r="E25" s="121">
        <f>ДЗП_расчёт!B$10</f>
        <v>0.13360323886639677</v>
      </c>
      <c r="F25" s="113">
        <f t="shared" si="7"/>
        <v>7923312.6588000022</v>
      </c>
      <c r="G25" s="118">
        <f>Соц_страх_расчёт!C$8</f>
        <v>0.32800000000000007</v>
      </c>
      <c r="H25" s="113">
        <f t="shared" si="8"/>
        <v>22050819.229824007</v>
      </c>
      <c r="I25" s="113"/>
      <c r="J25" s="113"/>
      <c r="K25" s="113"/>
      <c r="L25" s="113"/>
    </row>
    <row r="26" spans="1:12" s="124" customFormat="1" ht="15" thickBot="1" x14ac:dyDescent="0.35">
      <c r="A26" s="122" t="s">
        <v>204</v>
      </c>
      <c r="B26" s="123">
        <f>SUM(B23:B25)</f>
        <v>166989.94</v>
      </c>
      <c r="C26" s="123"/>
      <c r="D26" s="123">
        <f t="shared" ref="C26:L26" si="9">SUM(D23:D25)</f>
        <v>192711163.64347902</v>
      </c>
      <c r="E26" s="123"/>
      <c r="F26" s="123">
        <f t="shared" si="9"/>
        <v>25746835.628481004</v>
      </c>
      <c r="G26" s="123"/>
      <c r="H26" s="123">
        <f t="shared" si="9"/>
        <v>71654223.761202902</v>
      </c>
      <c r="I26" s="123"/>
      <c r="J26" s="123">
        <f t="shared" si="9"/>
        <v>0</v>
      </c>
      <c r="K26" s="123"/>
      <c r="L26" s="123">
        <f t="shared" si="9"/>
        <v>0</v>
      </c>
    </row>
    <row r="27" spans="1:12" s="124" customFormat="1" ht="15" thickBot="1" x14ac:dyDescent="0.35">
      <c r="A27" s="125" t="s">
        <v>205</v>
      </c>
      <c r="B27" s="126">
        <f>B26+B21+B11</f>
        <v>611468.55000000005</v>
      </c>
      <c r="C27" s="126"/>
      <c r="D27" s="126">
        <f t="shared" ref="C27:L27" si="10">D26+D21+D11</f>
        <v>717431663.56229854</v>
      </c>
      <c r="E27" s="126"/>
      <c r="F27" s="126">
        <f t="shared" si="10"/>
        <v>95851193.917230159</v>
      </c>
      <c r="G27" s="126"/>
      <c r="H27" s="126">
        <f t="shared" si="10"/>
        <v>266756777.25328547</v>
      </c>
      <c r="I27" s="126"/>
      <c r="J27" s="126">
        <f t="shared" si="10"/>
        <v>0</v>
      </c>
      <c r="K27" s="126"/>
      <c r="L27" s="127">
        <f t="shared" si="10"/>
        <v>0</v>
      </c>
    </row>
    <row r="28" spans="1:12" s="95" customFormat="1" x14ac:dyDescent="0.25">
      <c r="D28" s="110"/>
    </row>
    <row r="29" spans="1:12" s="95" customFormat="1" x14ac:dyDescent="0.25">
      <c r="D29" s="110"/>
    </row>
    <row r="31" spans="1:12" s="95" customFormat="1" x14ac:dyDescent="0.25">
      <c r="C31" s="109"/>
      <c r="D31" s="109"/>
      <c r="F31" s="109"/>
    </row>
    <row r="32" spans="1:12" s="95" customFormat="1" x14ac:dyDescent="0.25">
      <c r="C32" s="109"/>
      <c r="D32" s="109"/>
      <c r="F32" s="109"/>
    </row>
    <row r="33" spans="4:4" s="95" customFormat="1" x14ac:dyDescent="0.25">
      <c r="D33" s="109"/>
    </row>
  </sheetData>
  <mergeCells count="13">
    <mergeCell ref="A7:L7"/>
    <mergeCell ref="A12:L12"/>
    <mergeCell ref="A22:L22"/>
    <mergeCell ref="A2:L2"/>
    <mergeCell ref="B4:L4"/>
    <mergeCell ref="A4:A6"/>
    <mergeCell ref="B5:B6"/>
    <mergeCell ref="C5:C6"/>
    <mergeCell ref="D5:D6"/>
    <mergeCell ref="E5:F5"/>
    <mergeCell ref="G5:H5"/>
    <mergeCell ref="I5:J5"/>
    <mergeCell ref="K5:L5"/>
  </mergeCells>
  <pageMargins left="0.7" right="0.7" top="0.75" bottom="0.75" header="0.3" footer="0.3"/>
  <ignoredErrors>
    <ignoredError sqref="E8:E10 E13:E20 E23:E2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3D9F-743B-496C-846D-312417E8439F}">
  <dimension ref="A3:BL21"/>
  <sheetViews>
    <sheetView workbookViewId="0">
      <selection sqref="A1:C3"/>
    </sheetView>
  </sheetViews>
  <sheetFormatPr defaultRowHeight="14.4" x14ac:dyDescent="0.3"/>
  <cols>
    <col min="1" max="1" width="54.109375" customWidth="1"/>
    <col min="2" max="2" width="22.5546875" customWidth="1"/>
    <col min="3" max="3" width="24.33203125" customWidth="1"/>
  </cols>
  <sheetData>
    <row r="3" spans="1:64" x14ac:dyDescent="0.3">
      <c r="A3" s="36" t="s">
        <v>22</v>
      </c>
      <c r="B3" s="36"/>
      <c r="C3" s="36"/>
    </row>
    <row r="4" spans="1:64" x14ac:dyDescent="0.3">
      <c r="A4" s="7" t="s">
        <v>20</v>
      </c>
      <c r="B4" s="7" t="s">
        <v>23</v>
      </c>
      <c r="C4" s="7"/>
    </row>
    <row r="5" spans="1:64" ht="57.6" x14ac:dyDescent="0.3">
      <c r="A5" s="8" t="s">
        <v>24</v>
      </c>
      <c r="B5" s="9">
        <v>28</v>
      </c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ht="43.2" x14ac:dyDescent="0.3">
      <c r="A6" s="8" t="s">
        <v>25</v>
      </c>
      <c r="B6" s="10">
        <v>3</v>
      </c>
      <c r="C6" s="8" t="s">
        <v>26</v>
      </c>
    </row>
    <row r="7" spans="1:64" ht="43.2" x14ac:dyDescent="0.3">
      <c r="A7" s="11" t="s">
        <v>28</v>
      </c>
      <c r="B7" s="9">
        <v>2</v>
      </c>
      <c r="C7" s="8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ht="15" thickBot="1" x14ac:dyDescent="0.35">
      <c r="A8" s="68" t="s">
        <v>21</v>
      </c>
      <c r="B8" s="69">
        <f>SUM(B5:B7)</f>
        <v>33</v>
      </c>
      <c r="C8" s="70"/>
    </row>
    <row r="9" spans="1:64" x14ac:dyDescent="0.3">
      <c r="A9" s="71" t="s">
        <v>268</v>
      </c>
      <c r="B9" s="74">
        <v>247</v>
      </c>
      <c r="C9" s="56"/>
    </row>
    <row r="10" spans="1:64" ht="15" thickBot="1" x14ac:dyDescent="0.35">
      <c r="A10" s="72" t="s">
        <v>269</v>
      </c>
      <c r="B10" s="75">
        <f>B8/B9</f>
        <v>0.13360323886639677</v>
      </c>
      <c r="C10" s="73"/>
    </row>
    <row r="11" spans="1:64" x14ac:dyDescent="0.3">
      <c r="B11" s="3"/>
      <c r="C11" s="3"/>
    </row>
    <row r="12" spans="1:64" x14ac:dyDescent="0.3">
      <c r="B12" s="3"/>
      <c r="C12" s="3"/>
    </row>
    <row r="13" spans="1:64" x14ac:dyDescent="0.3">
      <c r="B13" s="6"/>
      <c r="C13" s="6"/>
    </row>
    <row r="21" spans="3:3" x14ac:dyDescent="0.3">
      <c r="C21" s="14"/>
    </row>
  </sheetData>
  <mergeCells count="1">
    <mergeCell ref="A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A7E5-A437-491F-8FDD-EDB44794433D}">
  <dimension ref="B3:D8"/>
  <sheetViews>
    <sheetView workbookViewId="0">
      <selection activeCell="F17" sqref="F17"/>
    </sheetView>
  </sheetViews>
  <sheetFormatPr defaultRowHeight="14.4" x14ac:dyDescent="0.3"/>
  <cols>
    <col min="2" max="2" width="54.109375" customWidth="1"/>
    <col min="3" max="3" width="15.44140625" customWidth="1"/>
    <col min="4" max="4" width="12.21875" bestFit="1" customWidth="1"/>
  </cols>
  <sheetData>
    <row r="3" spans="2:4" ht="28.8" x14ac:dyDescent="0.3">
      <c r="B3" s="27" t="s">
        <v>32</v>
      </c>
      <c r="C3" s="9" t="s">
        <v>33</v>
      </c>
      <c r="D3" s="13" t="s">
        <v>36</v>
      </c>
    </row>
    <row r="4" spans="2:4" ht="24" customHeight="1" x14ac:dyDescent="0.3">
      <c r="B4" s="8" t="s">
        <v>30</v>
      </c>
      <c r="C4" s="13">
        <v>0.22</v>
      </c>
      <c r="D4" s="7"/>
    </row>
    <row r="5" spans="2:4" ht="21" customHeight="1" x14ac:dyDescent="0.3">
      <c r="B5" s="8" t="s">
        <v>31</v>
      </c>
      <c r="C5" s="13">
        <v>5.0999999999999997E-2</v>
      </c>
      <c r="D5" s="7"/>
    </row>
    <row r="6" spans="2:4" ht="31.2" customHeight="1" x14ac:dyDescent="0.3">
      <c r="B6" s="8" t="s">
        <v>34</v>
      </c>
      <c r="C6" s="13">
        <v>2.9000000000000001E-2</v>
      </c>
      <c r="D6" s="7"/>
    </row>
    <row r="7" spans="2:4" ht="24" customHeight="1" x14ac:dyDescent="0.3">
      <c r="B7" s="8" t="s">
        <v>35</v>
      </c>
      <c r="C7" s="13">
        <v>2.8000000000000001E-2</v>
      </c>
      <c r="D7" s="7" t="s">
        <v>29</v>
      </c>
    </row>
    <row r="8" spans="2:4" x14ac:dyDescent="0.3">
      <c r="B8" s="7" t="s">
        <v>21</v>
      </c>
      <c r="C8" s="13">
        <f>SUM(C4:C7)</f>
        <v>0.32800000000000007</v>
      </c>
      <c r="D8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DC84-A04A-4EF0-8E4C-E2037FAF93AD}">
  <dimension ref="A1:K23"/>
  <sheetViews>
    <sheetView topLeftCell="A10" workbookViewId="0">
      <selection activeCell="K28" sqref="K28"/>
    </sheetView>
  </sheetViews>
  <sheetFormatPr defaultRowHeight="14.4" x14ac:dyDescent="0.3"/>
  <cols>
    <col min="1" max="1" width="29.109375" customWidth="1"/>
    <col min="2" max="2" width="16.77734375" customWidth="1"/>
    <col min="3" max="3" width="15.109375" customWidth="1"/>
    <col min="4" max="4" width="18" style="4" customWidth="1"/>
    <col min="5" max="5" width="12.77734375" customWidth="1"/>
    <col min="6" max="6" width="12.5546875" customWidth="1"/>
    <col min="7" max="8" width="20.33203125" customWidth="1"/>
    <col min="9" max="9" width="19.6640625" customWidth="1"/>
    <col min="10" max="10" width="22.88671875" customWidth="1"/>
    <col min="11" max="11" width="106.77734375" customWidth="1"/>
  </cols>
  <sheetData>
    <row r="1" spans="1:11" ht="43.2" x14ac:dyDescent="0.3">
      <c r="A1" s="46" t="s">
        <v>206</v>
      </c>
      <c r="B1" s="47" t="s">
        <v>207</v>
      </c>
      <c r="C1" s="47" t="s">
        <v>208</v>
      </c>
      <c r="D1" s="48" t="s">
        <v>209</v>
      </c>
      <c r="E1" s="47" t="s">
        <v>210</v>
      </c>
      <c r="F1" s="47" t="s">
        <v>270</v>
      </c>
      <c r="G1" s="48" t="s">
        <v>211</v>
      </c>
      <c r="H1" s="48" t="s">
        <v>271</v>
      </c>
      <c r="I1" s="48" t="s">
        <v>212</v>
      </c>
      <c r="J1" s="48" t="s">
        <v>213</v>
      </c>
      <c r="K1" s="49" t="s">
        <v>214</v>
      </c>
    </row>
    <row r="2" spans="1:11" x14ac:dyDescent="0.3">
      <c r="A2" s="50" t="s">
        <v>215</v>
      </c>
      <c r="B2" s="30">
        <v>1</v>
      </c>
      <c r="C2" s="12">
        <v>130000</v>
      </c>
      <c r="D2" s="12" t="s">
        <v>216</v>
      </c>
      <c r="E2" s="12">
        <v>130000</v>
      </c>
      <c r="F2" s="12">
        <f>E2*0.1</f>
        <v>13000</v>
      </c>
      <c r="G2" s="12">
        <f>E2+F2</f>
        <v>143000</v>
      </c>
      <c r="H2" s="12">
        <f>G2*ДЗП_расчёт!B$10</f>
        <v>19105.26315789474</v>
      </c>
      <c r="I2" s="12">
        <f>(G2+H2)*Соц_страх_расчёт!C$8</f>
        <v>53170.526315789488</v>
      </c>
      <c r="J2" s="12">
        <f>G2+H2+I2</f>
        <v>215275.78947368424</v>
      </c>
      <c r="K2" s="64" t="s">
        <v>217</v>
      </c>
    </row>
    <row r="3" spans="1:11" x14ac:dyDescent="0.3">
      <c r="A3" s="50" t="s">
        <v>218</v>
      </c>
      <c r="B3" s="30">
        <v>4</v>
      </c>
      <c r="C3" s="12">
        <v>170000</v>
      </c>
      <c r="D3" s="12" t="s">
        <v>219</v>
      </c>
      <c r="E3" s="12">
        <v>680000</v>
      </c>
      <c r="F3" s="12">
        <f t="shared" ref="F3:F9" si="0">E3*0.1</f>
        <v>68000</v>
      </c>
      <c r="G3" s="12">
        <f t="shared" ref="G3:G9" si="1">E3+F3</f>
        <v>748000</v>
      </c>
      <c r="H3" s="12">
        <f>G3*ДЗП_расчёт!B$10</f>
        <v>99935.222672064789</v>
      </c>
      <c r="I3" s="12">
        <f>(G3+H3)*Соц_страх_расчёт!C$8</f>
        <v>278122.75303643732</v>
      </c>
      <c r="J3" s="12">
        <f t="shared" ref="J3:J9" si="2">G3+H3+I3</f>
        <v>1126057.9757085021</v>
      </c>
      <c r="K3" s="64" t="s">
        <v>220</v>
      </c>
    </row>
    <row r="4" spans="1:11" x14ac:dyDescent="0.3">
      <c r="A4" s="50" t="s">
        <v>221</v>
      </c>
      <c r="B4" s="30">
        <v>4</v>
      </c>
      <c r="C4" s="12">
        <v>100000</v>
      </c>
      <c r="D4" s="12" t="s">
        <v>219</v>
      </c>
      <c r="E4" s="12">
        <v>400000</v>
      </c>
      <c r="F4" s="12">
        <f t="shared" si="0"/>
        <v>40000</v>
      </c>
      <c r="G4" s="12">
        <f t="shared" si="1"/>
        <v>440000</v>
      </c>
      <c r="H4" s="12">
        <f>G4*ДЗП_расчёт!B$10</f>
        <v>58785.425101214583</v>
      </c>
      <c r="I4" s="12">
        <f>(G4+H4)*Соц_страх_расчёт!C$8</f>
        <v>163601.61943319842</v>
      </c>
      <c r="J4" s="12">
        <f t="shared" si="2"/>
        <v>662387.04453441291</v>
      </c>
      <c r="K4" s="64" t="s">
        <v>222</v>
      </c>
    </row>
    <row r="5" spans="1:11" ht="29.4" customHeight="1" x14ac:dyDescent="0.3">
      <c r="A5" s="51" t="s">
        <v>223</v>
      </c>
      <c r="B5" s="30">
        <v>3</v>
      </c>
      <c r="C5" s="12">
        <v>150000</v>
      </c>
      <c r="D5" s="12" t="s">
        <v>219</v>
      </c>
      <c r="E5" s="12">
        <v>450000</v>
      </c>
      <c r="F5" s="12">
        <f t="shared" si="0"/>
        <v>45000</v>
      </c>
      <c r="G5" s="12">
        <f t="shared" si="1"/>
        <v>495000</v>
      </c>
      <c r="H5" s="12">
        <f>G5*ДЗП_расчёт!B$10</f>
        <v>66133.603238866403</v>
      </c>
      <c r="I5" s="12">
        <f>(G5+H5)*Соц_страх_расчёт!C$8</f>
        <v>184051.82186234824</v>
      </c>
      <c r="J5" s="12">
        <f t="shared" si="2"/>
        <v>745185.42510121467</v>
      </c>
      <c r="K5" s="64" t="s">
        <v>224</v>
      </c>
    </row>
    <row r="6" spans="1:11" x14ac:dyDescent="0.3">
      <c r="A6" s="50" t="s">
        <v>225</v>
      </c>
      <c r="B6" s="30">
        <v>2</v>
      </c>
      <c r="C6" s="12">
        <v>120000</v>
      </c>
      <c r="D6" s="12" t="s">
        <v>216</v>
      </c>
      <c r="E6" s="12">
        <v>240000</v>
      </c>
      <c r="F6" s="12">
        <f t="shared" si="0"/>
        <v>24000</v>
      </c>
      <c r="G6" s="12">
        <f t="shared" si="1"/>
        <v>264000</v>
      </c>
      <c r="H6" s="12">
        <f>G6*ДЗП_расчёт!B$10</f>
        <v>35271.255060728749</v>
      </c>
      <c r="I6" s="12">
        <f>(G6+H6)*Соц_страх_расчёт!C$8</f>
        <v>98160.971659919058</v>
      </c>
      <c r="J6" s="12">
        <f t="shared" si="2"/>
        <v>397432.22672064783</v>
      </c>
      <c r="K6" s="64" t="s">
        <v>226</v>
      </c>
    </row>
    <row r="7" spans="1:11" x14ac:dyDescent="0.3">
      <c r="A7" s="50" t="s">
        <v>227</v>
      </c>
      <c r="B7" s="30">
        <v>4</v>
      </c>
      <c r="C7" s="12">
        <v>150000</v>
      </c>
      <c r="D7" s="12" t="s">
        <v>219</v>
      </c>
      <c r="E7" s="12">
        <v>600000</v>
      </c>
      <c r="F7" s="12">
        <f t="shared" si="0"/>
        <v>60000</v>
      </c>
      <c r="G7" s="12">
        <f t="shared" si="1"/>
        <v>660000</v>
      </c>
      <c r="H7" s="12">
        <f>G7*ДЗП_расчёт!B$10</f>
        <v>88178.137651821875</v>
      </c>
      <c r="I7" s="12">
        <f>(G7+H7)*Соц_страх_расчёт!C$8</f>
        <v>245402.42914979762</v>
      </c>
      <c r="J7" s="12">
        <f t="shared" si="2"/>
        <v>993580.56680161948</v>
      </c>
      <c r="K7" s="64" t="s">
        <v>228</v>
      </c>
    </row>
    <row r="8" spans="1:11" x14ac:dyDescent="0.3">
      <c r="A8" s="50" t="s">
        <v>229</v>
      </c>
      <c r="B8" s="30">
        <v>4</v>
      </c>
      <c r="C8" s="12">
        <v>150000</v>
      </c>
      <c r="D8" s="12" t="s">
        <v>219</v>
      </c>
      <c r="E8" s="12">
        <v>600000</v>
      </c>
      <c r="F8" s="12">
        <f t="shared" si="0"/>
        <v>60000</v>
      </c>
      <c r="G8" s="12">
        <f t="shared" si="1"/>
        <v>660000</v>
      </c>
      <c r="H8" s="12">
        <f>G8*ДЗП_расчёт!B$10</f>
        <v>88178.137651821875</v>
      </c>
      <c r="I8" s="12">
        <f>(G8+H8)*Соц_страх_расчёт!C$8</f>
        <v>245402.42914979762</v>
      </c>
      <c r="J8" s="12">
        <f t="shared" si="2"/>
        <v>993580.56680161948</v>
      </c>
      <c r="K8" s="64" t="s">
        <v>230</v>
      </c>
    </row>
    <row r="9" spans="1:11" ht="15" thickBot="1" x14ac:dyDescent="0.35">
      <c r="A9" s="76" t="s">
        <v>231</v>
      </c>
      <c r="B9" s="37">
        <v>5</v>
      </c>
      <c r="C9" s="38">
        <v>120000</v>
      </c>
      <c r="D9" s="38" t="s">
        <v>219</v>
      </c>
      <c r="E9" s="38">
        <v>600000</v>
      </c>
      <c r="F9" s="38">
        <f t="shared" si="0"/>
        <v>60000</v>
      </c>
      <c r="G9" s="12">
        <f t="shared" si="1"/>
        <v>660000</v>
      </c>
      <c r="H9" s="12">
        <f>G9*ДЗП_расчёт!B$10</f>
        <v>88178.137651821875</v>
      </c>
      <c r="I9" s="12">
        <f>(G9+H9)*Соц_страх_расчёт!C$8</f>
        <v>245402.42914979762</v>
      </c>
      <c r="J9" s="12">
        <f t="shared" si="2"/>
        <v>993580.56680161948</v>
      </c>
      <c r="K9" s="77" t="s">
        <v>232</v>
      </c>
    </row>
    <row r="10" spans="1:11" s="40" customFormat="1" ht="15" thickBot="1" x14ac:dyDescent="0.35">
      <c r="A10" s="79" t="s">
        <v>233</v>
      </c>
      <c r="B10" s="80">
        <f>SUM(B2:B9)</f>
        <v>27</v>
      </c>
      <c r="C10" s="82">
        <f>SUM(C2:C9)</f>
        <v>1090000</v>
      </c>
      <c r="D10" s="82"/>
      <c r="E10" s="83">
        <f>SUM(E2:E9)</f>
        <v>3700000</v>
      </c>
      <c r="F10" s="83"/>
      <c r="G10" s="83">
        <f t="shared" ref="F10:H10" si="3">SUM(G2:G9)</f>
        <v>4070000</v>
      </c>
      <c r="H10" s="83">
        <f t="shared" si="3"/>
        <v>543765.18218623486</v>
      </c>
      <c r="I10" s="83">
        <f t="shared" ref="I10" si="4">SUM(I2:I9)</f>
        <v>1513314.9797570854</v>
      </c>
      <c r="J10" s="83">
        <f t="shared" ref="J10" si="5">SUM(J2:J9)</f>
        <v>6127080.1619433211</v>
      </c>
      <c r="K10" s="81"/>
    </row>
    <row r="11" spans="1:11" ht="15" thickBot="1" x14ac:dyDescent="0.35">
      <c r="C11" s="5"/>
      <c r="D11" s="5"/>
      <c r="E11" s="5"/>
      <c r="G11" s="86"/>
      <c r="H11" s="86"/>
      <c r="I11" s="86"/>
      <c r="J11" s="86"/>
    </row>
    <row r="12" spans="1:11" x14ac:dyDescent="0.3">
      <c r="A12" s="54" t="s">
        <v>234</v>
      </c>
      <c r="B12" s="55">
        <v>1</v>
      </c>
      <c r="C12" s="67">
        <v>200000</v>
      </c>
      <c r="D12" s="67" t="s">
        <v>216</v>
      </c>
      <c r="E12" s="67">
        <v>200000</v>
      </c>
      <c r="F12" s="84">
        <f>E12*0.1</f>
        <v>20000</v>
      </c>
      <c r="G12" s="39">
        <f>E12+F12</f>
        <v>220000</v>
      </c>
      <c r="H12" s="87">
        <f>G12*ДЗП_расчёт!B$10</f>
        <v>29392.712550607292</v>
      </c>
      <c r="I12" s="87">
        <f>(G12+H12)*Соц_страх_расчёт!C$8</f>
        <v>81800.809716599208</v>
      </c>
      <c r="J12" s="87">
        <f>G12+H12+I12</f>
        <v>331193.52226720646</v>
      </c>
      <c r="K12" s="65" t="s">
        <v>235</v>
      </c>
    </row>
    <row r="13" spans="1:11" x14ac:dyDescent="0.3">
      <c r="A13" s="50" t="s">
        <v>236</v>
      </c>
      <c r="B13" s="30">
        <v>5</v>
      </c>
      <c r="C13" s="12">
        <v>170000</v>
      </c>
      <c r="D13" s="12" t="s">
        <v>219</v>
      </c>
      <c r="E13" s="12">
        <v>850000</v>
      </c>
      <c r="F13" s="43">
        <f t="shared" ref="F13:F21" si="6">E13*0.1</f>
        <v>85000</v>
      </c>
      <c r="G13" s="12">
        <f t="shared" ref="G13:G21" si="7">E13+F13</f>
        <v>935000</v>
      </c>
      <c r="H13" s="87">
        <f>G13*ДЗП_расчёт!B$10</f>
        <v>124919.02834008099</v>
      </c>
      <c r="I13" s="87">
        <f>(G13+H13)*Соц_страх_расчёт!C$8</f>
        <v>347653.44129554665</v>
      </c>
      <c r="J13" s="87">
        <f t="shared" ref="J13:J21" si="8">G13+H13+I13</f>
        <v>1407572.4696356277</v>
      </c>
      <c r="K13" s="57" t="s">
        <v>237</v>
      </c>
    </row>
    <row r="14" spans="1:11" x14ac:dyDescent="0.3">
      <c r="A14" s="50" t="s">
        <v>238</v>
      </c>
      <c r="B14" s="30">
        <v>7</v>
      </c>
      <c r="C14" s="12">
        <v>180000</v>
      </c>
      <c r="D14" s="12" t="s">
        <v>219</v>
      </c>
      <c r="E14" s="12">
        <v>1260000</v>
      </c>
      <c r="F14" s="43">
        <f t="shared" si="6"/>
        <v>126000</v>
      </c>
      <c r="G14" s="12">
        <f t="shared" si="7"/>
        <v>1386000</v>
      </c>
      <c r="H14" s="87">
        <f>G14*ДЗП_расчёт!B$10</f>
        <v>185174.08906882594</v>
      </c>
      <c r="I14" s="87">
        <f>(G14+H14)*Соц_страх_расчёт!C$8</f>
        <v>515345.101214575</v>
      </c>
      <c r="J14" s="87">
        <f t="shared" si="8"/>
        <v>2086519.1902834009</v>
      </c>
      <c r="K14" s="57" t="s">
        <v>239</v>
      </c>
    </row>
    <row r="15" spans="1:11" x14ac:dyDescent="0.3">
      <c r="A15" s="50" t="s">
        <v>240</v>
      </c>
      <c r="B15" s="30">
        <v>7</v>
      </c>
      <c r="C15" s="12">
        <v>130000</v>
      </c>
      <c r="D15" s="12" t="s">
        <v>219</v>
      </c>
      <c r="E15" s="12">
        <v>910000</v>
      </c>
      <c r="F15" s="43">
        <f t="shared" si="6"/>
        <v>91000</v>
      </c>
      <c r="G15" s="12">
        <f t="shared" si="7"/>
        <v>1001000</v>
      </c>
      <c r="H15" s="87">
        <f>G15*ДЗП_расчёт!B$10</f>
        <v>133736.84210526317</v>
      </c>
      <c r="I15" s="87">
        <f>(G15+H15)*Соц_страх_расчёт!C$8</f>
        <v>372193.68421052641</v>
      </c>
      <c r="J15" s="87">
        <f t="shared" si="8"/>
        <v>1506930.5263157897</v>
      </c>
      <c r="K15" s="57" t="s">
        <v>241</v>
      </c>
    </row>
    <row r="16" spans="1:11" x14ac:dyDescent="0.3">
      <c r="A16" s="50" t="s">
        <v>242</v>
      </c>
      <c r="B16" s="30">
        <v>2</v>
      </c>
      <c r="C16" s="12">
        <v>120000</v>
      </c>
      <c r="D16" s="12" t="s">
        <v>219</v>
      </c>
      <c r="E16" s="12">
        <v>240000</v>
      </c>
      <c r="F16" s="43">
        <f t="shared" si="6"/>
        <v>24000</v>
      </c>
      <c r="G16" s="12">
        <f t="shared" si="7"/>
        <v>264000</v>
      </c>
      <c r="H16" s="87">
        <f>G16*ДЗП_расчёт!B$10</f>
        <v>35271.255060728749</v>
      </c>
      <c r="I16" s="87">
        <f>(G16+H16)*Соц_страх_расчёт!C$8</f>
        <v>98160.971659919058</v>
      </c>
      <c r="J16" s="87">
        <f t="shared" si="8"/>
        <v>397432.22672064783</v>
      </c>
      <c r="K16" s="57" t="s">
        <v>243</v>
      </c>
    </row>
    <row r="17" spans="1:11" x14ac:dyDescent="0.3">
      <c r="A17" s="50" t="s">
        <v>244</v>
      </c>
      <c r="B17" s="30">
        <v>2</v>
      </c>
      <c r="C17" s="12">
        <v>150000</v>
      </c>
      <c r="D17" s="12" t="s">
        <v>219</v>
      </c>
      <c r="E17" s="12">
        <v>300000</v>
      </c>
      <c r="F17" s="43">
        <f t="shared" si="6"/>
        <v>30000</v>
      </c>
      <c r="G17" s="12">
        <f t="shared" si="7"/>
        <v>330000</v>
      </c>
      <c r="H17" s="87">
        <f>G17*ДЗП_расчёт!B$10</f>
        <v>44089.068825910937</v>
      </c>
      <c r="I17" s="87">
        <f>(G17+H17)*Соц_страх_расчёт!C$8</f>
        <v>122701.21457489881</v>
      </c>
      <c r="J17" s="87">
        <f t="shared" si="8"/>
        <v>496790.28340080974</v>
      </c>
      <c r="K17" s="57" t="s">
        <v>245</v>
      </c>
    </row>
    <row r="18" spans="1:11" x14ac:dyDescent="0.3">
      <c r="A18" s="50" t="s">
        <v>246</v>
      </c>
      <c r="B18" s="30">
        <v>10</v>
      </c>
      <c r="C18" s="12">
        <v>100000</v>
      </c>
      <c r="D18" s="12" t="s">
        <v>219</v>
      </c>
      <c r="E18" s="12">
        <v>1000000</v>
      </c>
      <c r="F18" s="43">
        <f t="shared" si="6"/>
        <v>100000</v>
      </c>
      <c r="G18" s="12">
        <f t="shared" si="7"/>
        <v>1100000</v>
      </c>
      <c r="H18" s="87">
        <f>G18*ДЗП_расчёт!B$10</f>
        <v>146963.56275303644</v>
      </c>
      <c r="I18" s="87">
        <f>(G18+H18)*Соц_страх_расчёт!C$8</f>
        <v>409004.04858299601</v>
      </c>
      <c r="J18" s="87">
        <f t="shared" si="8"/>
        <v>1655967.6113360324</v>
      </c>
      <c r="K18" s="57" t="s">
        <v>247</v>
      </c>
    </row>
    <row r="19" spans="1:11" x14ac:dyDescent="0.3">
      <c r="A19" s="50" t="s">
        <v>248</v>
      </c>
      <c r="B19" s="30">
        <v>7</v>
      </c>
      <c r="C19" s="12">
        <v>75000</v>
      </c>
      <c r="D19" s="12" t="s">
        <v>249</v>
      </c>
      <c r="E19" s="12">
        <v>525000</v>
      </c>
      <c r="F19" s="43">
        <f t="shared" si="6"/>
        <v>52500</v>
      </c>
      <c r="G19" s="12">
        <f t="shared" si="7"/>
        <v>577500</v>
      </c>
      <c r="H19" s="87">
        <f>G19*ДЗП_расчёт!B$10</f>
        <v>77155.870445344131</v>
      </c>
      <c r="I19" s="87">
        <f>(G19+H19)*Соц_страх_расчёт!C$8</f>
        <v>214727.12550607292</v>
      </c>
      <c r="J19" s="87">
        <f t="shared" si="8"/>
        <v>869382.99595141702</v>
      </c>
      <c r="K19" s="57" t="s">
        <v>250</v>
      </c>
    </row>
    <row r="20" spans="1:11" ht="28.8" x14ac:dyDescent="0.3">
      <c r="A20" s="58" t="s">
        <v>251</v>
      </c>
      <c r="B20" s="30">
        <v>2</v>
      </c>
      <c r="C20" s="12">
        <v>80000</v>
      </c>
      <c r="D20" s="12" t="s">
        <v>252</v>
      </c>
      <c r="E20" s="12">
        <v>160000</v>
      </c>
      <c r="F20" s="43">
        <f t="shared" si="6"/>
        <v>16000</v>
      </c>
      <c r="G20" s="12">
        <f t="shared" si="7"/>
        <v>176000</v>
      </c>
      <c r="H20" s="87">
        <f>G20*ДЗП_расчёт!B$10</f>
        <v>23514.170040485831</v>
      </c>
      <c r="I20" s="87">
        <f>(G20+H20)*Соц_страх_расчёт!C$8</f>
        <v>65440.647773279365</v>
      </c>
      <c r="J20" s="87">
        <f t="shared" si="8"/>
        <v>264954.8178137652</v>
      </c>
      <c r="K20" s="57" t="s">
        <v>253</v>
      </c>
    </row>
    <row r="21" spans="1:11" ht="29.4" thickBot="1" x14ac:dyDescent="0.35">
      <c r="A21" s="52" t="s">
        <v>254</v>
      </c>
      <c r="B21" s="53">
        <v>7</v>
      </c>
      <c r="C21" s="66">
        <v>120000</v>
      </c>
      <c r="D21" s="66" t="s">
        <v>219</v>
      </c>
      <c r="E21" s="66">
        <v>840000</v>
      </c>
      <c r="F21" s="85">
        <f t="shared" si="6"/>
        <v>84000</v>
      </c>
      <c r="G21" s="66">
        <f t="shared" si="7"/>
        <v>924000</v>
      </c>
      <c r="H21" s="66">
        <f>G21*ДЗП_расчёт!B$10</f>
        <v>123449.39271255062</v>
      </c>
      <c r="I21" s="66">
        <f>(G21+H21)*Соц_страх_расчёт!C$8</f>
        <v>343563.40080971667</v>
      </c>
      <c r="J21" s="66">
        <f t="shared" si="8"/>
        <v>1391012.7935222671</v>
      </c>
      <c r="K21" s="78" t="s">
        <v>255</v>
      </c>
    </row>
    <row r="22" spans="1:11" s="40" customFormat="1" x14ac:dyDescent="0.3">
      <c r="A22" s="90" t="s">
        <v>256</v>
      </c>
      <c r="B22" s="90">
        <f>SUM(B12:B21)</f>
        <v>50</v>
      </c>
      <c r="C22" s="91">
        <f>SUM(C12:C21)</f>
        <v>1325000</v>
      </c>
      <c r="D22" s="91"/>
      <c r="E22" s="91">
        <f>SUM(E12:E21)</f>
        <v>6285000</v>
      </c>
      <c r="F22" s="91"/>
      <c r="G22" s="91">
        <f t="shared" ref="F22:J22" si="9">SUM(G12:G21)</f>
        <v>6913500</v>
      </c>
      <c r="H22" s="91">
        <f t="shared" si="9"/>
        <v>923665.99190283404</v>
      </c>
      <c r="I22" s="91">
        <f t="shared" si="9"/>
        <v>2570590.4453441305</v>
      </c>
      <c r="J22" s="91">
        <f t="shared" si="9"/>
        <v>10407756.437246963</v>
      </c>
      <c r="K22" s="92"/>
    </row>
    <row r="23" spans="1:11" x14ac:dyDescent="0.3">
      <c r="A23" s="88" t="s">
        <v>272</v>
      </c>
      <c r="B23" s="88"/>
      <c r="C23" s="88"/>
      <c r="D23" s="88"/>
      <c r="E23" s="88"/>
      <c r="F23" s="88"/>
      <c r="G23" s="88"/>
      <c r="H23" s="88"/>
      <c r="I23" s="88"/>
      <c r="J23" s="89">
        <f>J22+J10</f>
        <v>16534836.599190284</v>
      </c>
      <c r="K23" s="7"/>
    </row>
  </sheetData>
  <mergeCells count="1">
    <mergeCell ref="A23:I23"/>
  </mergeCells>
  <hyperlinks>
    <hyperlink ref="K9" r:id="rId1" xr:uid="{02EB26EE-AE93-4E20-AC47-1F978B6CA2EB}"/>
    <hyperlink ref="K19" r:id="rId2" xr:uid="{7F44487D-813C-4033-87A4-40CB69E6077D}"/>
    <hyperlink ref="K2" r:id="rId3" xr:uid="{DAB3A5E2-33F6-4C3D-AD85-F9E0ADFFCFB5}"/>
    <hyperlink ref="K3" r:id="rId4" xr:uid="{0A43BA2D-2AD8-424A-8427-8C34C73FAE77}"/>
    <hyperlink ref="K4" r:id="rId5" xr:uid="{160F9644-235A-4313-B330-7EC8F07D7748}"/>
    <hyperlink ref="K5" r:id="rId6" xr:uid="{8D7C3ACC-A155-4ED8-9647-92C489269844}"/>
    <hyperlink ref="K6" r:id="rId7" xr:uid="{567B6A01-C814-4CBC-BCC5-F59F2D86F5FE}"/>
    <hyperlink ref="K7" r:id="rId8" xr:uid="{156CD82D-D787-4C96-87B6-092602DA26BE}"/>
    <hyperlink ref="K8" r:id="rId9" xr:uid="{B3F27231-811D-4F63-8708-898DAFB1121A}"/>
    <hyperlink ref="K12" r:id="rId10" xr:uid="{22B77DDD-44B5-4E39-B23D-027A06A7B2FE}"/>
    <hyperlink ref="K13" r:id="rId11" xr:uid="{B666FB8B-32E3-4AAB-A807-E2D5C2884976}"/>
    <hyperlink ref="K14" r:id="rId12" xr:uid="{F89FF38F-934A-48A6-9BC5-785B9A253147}"/>
    <hyperlink ref="K15" r:id="rId13" xr:uid="{7F12C51A-4E28-4803-B259-9FA82266634D}"/>
    <hyperlink ref="K16" r:id="rId14" xr:uid="{E9DA7A0D-E7E0-4D12-859F-7C91EE1AC9AD}"/>
    <hyperlink ref="K17" r:id="rId15" xr:uid="{25A28A46-00D3-4C78-94DD-F0501D8327BA}"/>
    <hyperlink ref="K18" r:id="rId16" xr:uid="{984D56AE-179C-4B49-93CF-2DB3535A6C96}"/>
    <hyperlink ref="K20" r:id="rId17" xr:uid="{6C9C550C-1684-488B-8DF1-B97D1AEF440E}"/>
    <hyperlink ref="K21" r:id="rId18" xr:uid="{F3BD7613-151A-4568-BD72-4B8D1BCA994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AAFC-108E-48DA-B0F7-2BBD55282C3E}">
  <dimension ref="B3:F15"/>
  <sheetViews>
    <sheetView topLeftCell="A4" workbookViewId="0">
      <selection activeCell="D8" sqref="D8"/>
    </sheetView>
  </sheetViews>
  <sheetFormatPr defaultRowHeight="13.8" x14ac:dyDescent="0.25"/>
  <cols>
    <col min="1" max="1" width="8.88671875" style="95"/>
    <col min="2" max="2" width="39.77734375" style="95" bestFit="1" customWidth="1"/>
    <col min="3" max="3" width="54.109375" style="95" customWidth="1"/>
    <col min="4" max="4" width="14.6640625" style="95" customWidth="1"/>
    <col min="5" max="5" width="19" style="95" customWidth="1"/>
    <col min="6" max="6" width="17.5546875" style="95" customWidth="1"/>
    <col min="7" max="16384" width="8.88671875" style="95"/>
  </cols>
  <sheetData>
    <row r="3" spans="2:6" ht="41.4" x14ac:dyDescent="0.25">
      <c r="B3" s="103" t="s">
        <v>273</v>
      </c>
      <c r="C3" s="103" t="s">
        <v>274</v>
      </c>
      <c r="D3" s="106" t="s">
        <v>275</v>
      </c>
      <c r="E3" s="93" t="s">
        <v>276</v>
      </c>
      <c r="F3" s="93" t="s">
        <v>256</v>
      </c>
    </row>
    <row r="4" spans="2:6" ht="41.4" x14ac:dyDescent="0.25">
      <c r="B4" s="103" t="s">
        <v>277</v>
      </c>
      <c r="C4" s="101" t="s">
        <v>299</v>
      </c>
      <c r="D4" s="107">
        <f>4200*1.04</f>
        <v>4368</v>
      </c>
      <c r="E4" s="93">
        <v>30</v>
      </c>
      <c r="F4" s="107">
        <f>D4*E4</f>
        <v>131040</v>
      </c>
    </row>
    <row r="5" spans="2:6" ht="41.4" x14ac:dyDescent="0.25">
      <c r="B5" s="96" t="s">
        <v>278</v>
      </c>
      <c r="C5" s="97" t="s">
        <v>279</v>
      </c>
      <c r="D5" s="98">
        <f>8000*1.04</f>
        <v>8320</v>
      </c>
      <c r="E5" s="93">
        <v>15</v>
      </c>
      <c r="F5" s="107">
        <f t="shared" ref="F4:F11" si="0">D5*E5</f>
        <v>124800</v>
      </c>
    </row>
    <row r="6" spans="2:6" x14ac:dyDescent="0.25">
      <c r="B6" s="93" t="s">
        <v>280</v>
      </c>
      <c r="C6" s="97" t="s">
        <v>281</v>
      </c>
      <c r="D6" s="98">
        <f>526*1.04</f>
        <v>547.04</v>
      </c>
      <c r="E6" s="93">
        <v>25</v>
      </c>
      <c r="F6" s="107">
        <f t="shared" si="0"/>
        <v>13676</v>
      </c>
    </row>
    <row r="7" spans="2:6" x14ac:dyDescent="0.25">
      <c r="B7" s="93" t="s">
        <v>282</v>
      </c>
      <c r="C7" s="99" t="s">
        <v>283</v>
      </c>
      <c r="D7" s="98">
        <f>2000*1.04</f>
        <v>2080</v>
      </c>
      <c r="E7" s="93">
        <v>35</v>
      </c>
      <c r="F7" s="107">
        <f t="shared" si="0"/>
        <v>72800</v>
      </c>
    </row>
    <row r="8" spans="2:6" ht="27.6" x14ac:dyDescent="0.25">
      <c r="B8" s="100" t="s">
        <v>284</v>
      </c>
      <c r="C8" s="101" t="s">
        <v>285</v>
      </c>
      <c r="D8" s="102">
        <f>7300*1.04</f>
        <v>7592</v>
      </c>
      <c r="E8" s="93">
        <v>20</v>
      </c>
      <c r="F8" s="107">
        <f t="shared" si="0"/>
        <v>151840</v>
      </c>
    </row>
    <row r="9" spans="2:6" ht="27.6" x14ac:dyDescent="0.25">
      <c r="B9" s="103" t="s">
        <v>286</v>
      </c>
      <c r="C9" s="104" t="s">
        <v>287</v>
      </c>
      <c r="D9" s="102">
        <f>350*1.04</f>
        <v>364</v>
      </c>
      <c r="E9" s="93">
        <v>100</v>
      </c>
      <c r="F9" s="107">
        <f t="shared" si="0"/>
        <v>36400</v>
      </c>
    </row>
    <row r="10" spans="2:6" x14ac:dyDescent="0.25">
      <c r="B10" s="100" t="s">
        <v>288</v>
      </c>
      <c r="C10" s="104" t="s">
        <v>289</v>
      </c>
      <c r="D10" s="102">
        <f>808*1.04</f>
        <v>840.32</v>
      </c>
      <c r="E10" s="93">
        <v>150</v>
      </c>
      <c r="F10" s="107">
        <f t="shared" si="0"/>
        <v>126048.00000000001</v>
      </c>
    </row>
    <row r="11" spans="2:6" ht="69" x14ac:dyDescent="0.25">
      <c r="B11" s="103" t="s">
        <v>284</v>
      </c>
      <c r="C11" s="101" t="s">
        <v>290</v>
      </c>
      <c r="D11" s="107">
        <f>3000*1.04</f>
        <v>3120</v>
      </c>
      <c r="E11" s="93">
        <v>30</v>
      </c>
      <c r="F11" s="107">
        <f t="shared" si="0"/>
        <v>93600</v>
      </c>
    </row>
    <row r="12" spans="2:6" x14ac:dyDescent="0.25">
      <c r="B12" s="93" t="s">
        <v>291</v>
      </c>
      <c r="C12" s="101" t="s">
        <v>292</v>
      </c>
      <c r="D12" s="98">
        <f>376800*1.04</f>
        <v>391872</v>
      </c>
      <c r="E12" s="93" t="s">
        <v>293</v>
      </c>
      <c r="F12" s="107">
        <f>D12</f>
        <v>391872</v>
      </c>
    </row>
    <row r="13" spans="2:6" x14ac:dyDescent="0.25">
      <c r="B13" s="93" t="s">
        <v>294</v>
      </c>
      <c r="C13" s="101" t="s">
        <v>297</v>
      </c>
      <c r="D13" s="98">
        <f>178020*1.041</f>
        <v>185318.81999999998</v>
      </c>
      <c r="E13" s="93" t="s">
        <v>293</v>
      </c>
      <c r="F13" s="107">
        <f>D13</f>
        <v>185318.81999999998</v>
      </c>
    </row>
    <row r="14" spans="2:6" x14ac:dyDescent="0.25">
      <c r="B14" s="105" t="s">
        <v>295</v>
      </c>
      <c r="C14" s="101" t="s">
        <v>298</v>
      </c>
      <c r="D14" s="98">
        <f>306360*1.04</f>
        <v>318614.40000000002</v>
      </c>
      <c r="E14" s="93" t="s">
        <v>293</v>
      </c>
      <c r="F14" s="107">
        <f>D14</f>
        <v>318614.40000000002</v>
      </c>
    </row>
    <row r="15" spans="2:6" x14ac:dyDescent="0.25">
      <c r="B15" s="111" t="s">
        <v>296</v>
      </c>
      <c r="C15" s="111"/>
      <c r="D15" s="114">
        <f>SUM(D4:D14)</f>
        <v>923036.58</v>
      </c>
      <c r="E15" s="114"/>
      <c r="F15" s="114">
        <f t="shared" ref="E15:F15" si="1">SUM(F4:F14)</f>
        <v>1646009.2200000002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9ED3-64BF-4106-B7DD-7349A329319E}">
  <dimension ref="A2:D6"/>
  <sheetViews>
    <sheetView workbookViewId="0">
      <selection activeCell="D7" sqref="D7"/>
    </sheetView>
  </sheetViews>
  <sheetFormatPr defaultRowHeight="15.6" x14ac:dyDescent="0.3"/>
  <cols>
    <col min="1" max="1" width="23.77734375" style="145" customWidth="1"/>
    <col min="2" max="2" width="29.21875" style="145" customWidth="1"/>
    <col min="3" max="3" width="26.88671875" style="145" customWidth="1"/>
    <col min="4" max="4" width="90.21875" style="145" customWidth="1"/>
    <col min="5" max="16384" width="8.88671875" style="145"/>
  </cols>
  <sheetData>
    <row r="2" spans="1:4" ht="35.4" customHeight="1" x14ac:dyDescent="0.3">
      <c r="A2" s="222" t="s">
        <v>257</v>
      </c>
      <c r="B2" s="222" t="s">
        <v>258</v>
      </c>
      <c r="C2" s="223" t="s">
        <v>306</v>
      </c>
      <c r="D2" s="59" t="s">
        <v>259</v>
      </c>
    </row>
    <row r="3" spans="1:4" ht="66" customHeight="1" x14ac:dyDescent="0.3">
      <c r="A3" s="60" t="s">
        <v>260</v>
      </c>
      <c r="B3" s="60" t="s">
        <v>261</v>
      </c>
      <c r="C3" s="225">
        <v>124000</v>
      </c>
      <c r="D3" s="224" t="s">
        <v>304</v>
      </c>
    </row>
    <row r="4" spans="1:4" ht="75" customHeight="1" x14ac:dyDescent="0.3">
      <c r="A4" s="61" t="s">
        <v>262</v>
      </c>
      <c r="B4" s="61" t="s">
        <v>263</v>
      </c>
      <c r="C4" s="200">
        <v>3000</v>
      </c>
      <c r="D4" s="62" t="s">
        <v>264</v>
      </c>
    </row>
    <row r="5" spans="1:4" ht="42.6" customHeight="1" x14ac:dyDescent="0.3">
      <c r="A5" s="61" t="s">
        <v>262</v>
      </c>
      <c r="B5" s="61" t="s">
        <v>265</v>
      </c>
      <c r="C5" s="200">
        <v>0</v>
      </c>
      <c r="D5" s="62" t="s">
        <v>266</v>
      </c>
    </row>
    <row r="6" spans="1:4" x14ac:dyDescent="0.3">
      <c r="A6" s="226" t="s">
        <v>305</v>
      </c>
      <c r="B6" s="226"/>
      <c r="C6" s="227">
        <f>SUM(C3:C5)*12</f>
        <v>1524000</v>
      </c>
      <c r="D6" s="63"/>
    </row>
  </sheetData>
  <mergeCells count="1">
    <mergeCell ref="A6:B6"/>
  </mergeCells>
  <hyperlinks>
    <hyperlink ref="D3" r:id="rId1" display="https://www.metro-spb.ru/reklama-na-stanciyah-metro/shchit-putevoj.htm?ysclid=mudu3rg6be486653059" xr:uid="{4D15DB31-E897-454F-B6EC-83FCFE5A4BB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69F3-0A5C-431A-8E5B-5627CE482FF5}">
  <dimension ref="A4:A39"/>
  <sheetViews>
    <sheetView workbookViewId="0">
      <selection activeCell="A8" sqref="A8:XFD8"/>
    </sheetView>
  </sheetViews>
  <sheetFormatPr defaultRowHeight="14.4" x14ac:dyDescent="0.3"/>
  <sheetData>
    <row r="4" spans="1:1" x14ac:dyDescent="0.3">
      <c r="A4" t="s">
        <v>63</v>
      </c>
    </row>
    <row r="5" spans="1:1" x14ac:dyDescent="0.3">
      <c r="A5" t="s">
        <v>64</v>
      </c>
    </row>
    <row r="6" spans="1:1" x14ac:dyDescent="0.3">
      <c r="A6" t="s">
        <v>65</v>
      </c>
    </row>
    <row r="7" spans="1:1" x14ac:dyDescent="0.3">
      <c r="A7" t="s">
        <v>66</v>
      </c>
    </row>
    <row r="8" spans="1:1" x14ac:dyDescent="0.3">
      <c r="A8" t="s">
        <v>67</v>
      </c>
    </row>
    <row r="9" spans="1:1" x14ac:dyDescent="0.3">
      <c r="A9" t="s">
        <v>68</v>
      </c>
    </row>
    <row r="10" spans="1:1" x14ac:dyDescent="0.3">
      <c r="A10" t="s">
        <v>69</v>
      </c>
    </row>
    <row r="11" spans="1:1" x14ac:dyDescent="0.3">
      <c r="A11" t="s">
        <v>70</v>
      </c>
    </row>
    <row r="12" spans="1:1" x14ac:dyDescent="0.3">
      <c r="A12" t="s">
        <v>71</v>
      </c>
    </row>
    <row r="13" spans="1:1" x14ac:dyDescent="0.3">
      <c r="A13" t="s">
        <v>72</v>
      </c>
    </row>
    <row r="14" spans="1:1" x14ac:dyDescent="0.3">
      <c r="A14" t="s">
        <v>73</v>
      </c>
    </row>
    <row r="15" spans="1:1" x14ac:dyDescent="0.3">
      <c r="A15" t="s">
        <v>74</v>
      </c>
    </row>
    <row r="16" spans="1:1" x14ac:dyDescent="0.3">
      <c r="A16" t="s">
        <v>75</v>
      </c>
    </row>
    <row r="17" spans="1:1" x14ac:dyDescent="0.3">
      <c r="A17" t="s">
        <v>76</v>
      </c>
    </row>
    <row r="18" spans="1:1" x14ac:dyDescent="0.3">
      <c r="A18" t="s">
        <v>77</v>
      </c>
    </row>
    <row r="19" spans="1:1" x14ac:dyDescent="0.3">
      <c r="A19" t="s">
        <v>78</v>
      </c>
    </row>
    <row r="20" spans="1:1" x14ac:dyDescent="0.3">
      <c r="A20" t="s">
        <v>79</v>
      </c>
    </row>
    <row r="21" spans="1:1" x14ac:dyDescent="0.3">
      <c r="A21" t="s">
        <v>80</v>
      </c>
    </row>
    <row r="22" spans="1:1" x14ac:dyDescent="0.3">
      <c r="A22" t="s">
        <v>81</v>
      </c>
    </row>
    <row r="23" spans="1:1" x14ac:dyDescent="0.3">
      <c r="A23" t="s">
        <v>82</v>
      </c>
    </row>
    <row r="24" spans="1:1" x14ac:dyDescent="0.3">
      <c r="A24" t="s">
        <v>83</v>
      </c>
    </row>
    <row r="25" spans="1:1" x14ac:dyDescent="0.3">
      <c r="A25" t="s">
        <v>84</v>
      </c>
    </row>
    <row r="26" spans="1:1" x14ac:dyDescent="0.3">
      <c r="A26" t="s">
        <v>85</v>
      </c>
    </row>
    <row r="27" spans="1:1" x14ac:dyDescent="0.3">
      <c r="A27" t="s">
        <v>86</v>
      </c>
    </row>
    <row r="28" spans="1:1" x14ac:dyDescent="0.3">
      <c r="A28" t="s">
        <v>87</v>
      </c>
    </row>
    <row r="29" spans="1:1" x14ac:dyDescent="0.3">
      <c r="A29" t="s">
        <v>88</v>
      </c>
    </row>
    <row r="30" spans="1:1" x14ac:dyDescent="0.3">
      <c r="A30" t="s">
        <v>89</v>
      </c>
    </row>
    <row r="31" spans="1:1" x14ac:dyDescent="0.3">
      <c r="A31" t="s">
        <v>90</v>
      </c>
    </row>
    <row r="32" spans="1:1" x14ac:dyDescent="0.3">
      <c r="A32" t="s">
        <v>91</v>
      </c>
    </row>
    <row r="33" spans="1:1" x14ac:dyDescent="0.3">
      <c r="A33" t="s">
        <v>92</v>
      </c>
    </row>
    <row r="34" spans="1:1" x14ac:dyDescent="0.3">
      <c r="A34" t="s">
        <v>93</v>
      </c>
    </row>
    <row r="35" spans="1:1" x14ac:dyDescent="0.3">
      <c r="A35" t="s">
        <v>94</v>
      </c>
    </row>
    <row r="36" spans="1:1" x14ac:dyDescent="0.3">
      <c r="A36" t="s">
        <v>95</v>
      </c>
    </row>
    <row r="37" spans="1:1" x14ac:dyDescent="0.3">
      <c r="A37" t="s">
        <v>96</v>
      </c>
    </row>
    <row r="38" spans="1:1" x14ac:dyDescent="0.3">
      <c r="A38" t="s">
        <v>97</v>
      </c>
    </row>
    <row r="39" spans="1:1" x14ac:dyDescent="0.3">
      <c r="A39" t="s">
        <v>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FFFB-1371-4783-85A6-E702908830EE}">
  <dimension ref="A4:A53"/>
  <sheetViews>
    <sheetView topLeftCell="A10" workbookViewId="0">
      <selection activeCell="A4" sqref="A4:A53"/>
    </sheetView>
  </sheetViews>
  <sheetFormatPr defaultRowHeight="14.4" x14ac:dyDescent="0.3"/>
  <sheetData>
    <row r="4" spans="1:1" x14ac:dyDescent="0.3">
      <c r="A4" t="s">
        <v>99</v>
      </c>
    </row>
    <row r="5" spans="1:1" x14ac:dyDescent="0.3">
      <c r="A5" t="s">
        <v>100</v>
      </c>
    </row>
    <row r="6" spans="1:1" x14ac:dyDescent="0.3">
      <c r="A6" t="s">
        <v>65</v>
      </c>
    </row>
    <row r="7" spans="1:1" x14ac:dyDescent="0.3">
      <c r="A7" t="s">
        <v>101</v>
      </c>
    </row>
    <row r="8" spans="1:1" x14ac:dyDescent="0.3">
      <c r="A8" t="s">
        <v>102</v>
      </c>
    </row>
    <row r="9" spans="1:1" x14ac:dyDescent="0.3">
      <c r="A9" t="s">
        <v>103</v>
      </c>
    </row>
    <row r="10" spans="1:1" x14ac:dyDescent="0.3">
      <c r="A10" t="s">
        <v>104</v>
      </c>
    </row>
    <row r="11" spans="1:1" x14ac:dyDescent="0.3">
      <c r="A11" t="s">
        <v>105</v>
      </c>
    </row>
    <row r="12" spans="1:1" x14ac:dyDescent="0.3">
      <c r="A12" t="s">
        <v>106</v>
      </c>
    </row>
    <row r="13" spans="1:1" x14ac:dyDescent="0.3">
      <c r="A13" t="s">
        <v>107</v>
      </c>
    </row>
    <row r="14" spans="1:1" x14ac:dyDescent="0.3">
      <c r="A14" t="s">
        <v>108</v>
      </c>
    </row>
    <row r="15" spans="1:1" x14ac:dyDescent="0.3">
      <c r="A15" t="s">
        <v>109</v>
      </c>
    </row>
    <row r="16" spans="1:1" x14ac:dyDescent="0.3">
      <c r="A16" t="s">
        <v>110</v>
      </c>
    </row>
    <row r="17" spans="1:1" x14ac:dyDescent="0.3">
      <c r="A17" t="s">
        <v>111</v>
      </c>
    </row>
    <row r="18" spans="1:1" x14ac:dyDescent="0.3">
      <c r="A18" t="s">
        <v>112</v>
      </c>
    </row>
    <row r="19" spans="1:1" x14ac:dyDescent="0.3">
      <c r="A19" t="s">
        <v>113</v>
      </c>
    </row>
    <row r="20" spans="1:1" x14ac:dyDescent="0.3">
      <c r="A20" t="s">
        <v>114</v>
      </c>
    </row>
    <row r="21" spans="1:1" x14ac:dyDescent="0.3">
      <c r="A21" t="s">
        <v>115</v>
      </c>
    </row>
    <row r="22" spans="1:1" x14ac:dyDescent="0.3">
      <c r="A22" t="s">
        <v>116</v>
      </c>
    </row>
    <row r="23" spans="1:1" x14ac:dyDescent="0.3">
      <c r="A23" t="s">
        <v>117</v>
      </c>
    </row>
    <row r="24" spans="1:1" x14ac:dyDescent="0.3">
      <c r="A24" t="s">
        <v>118</v>
      </c>
    </row>
    <row r="25" spans="1:1" x14ac:dyDescent="0.3">
      <c r="A25" t="s">
        <v>119</v>
      </c>
    </row>
    <row r="26" spans="1:1" x14ac:dyDescent="0.3">
      <c r="A26" t="s">
        <v>120</v>
      </c>
    </row>
    <row r="27" spans="1:1" x14ac:dyDescent="0.3">
      <c r="A27" t="s">
        <v>121</v>
      </c>
    </row>
    <row r="28" spans="1:1" x14ac:dyDescent="0.3">
      <c r="A28" t="s">
        <v>122</v>
      </c>
    </row>
    <row r="29" spans="1:1" x14ac:dyDescent="0.3">
      <c r="A29" t="s">
        <v>123</v>
      </c>
    </row>
    <row r="30" spans="1:1" x14ac:dyDescent="0.3">
      <c r="A30" t="s">
        <v>124</v>
      </c>
    </row>
    <row r="31" spans="1:1" x14ac:dyDescent="0.3">
      <c r="A31" t="s">
        <v>125</v>
      </c>
    </row>
    <row r="32" spans="1:1" x14ac:dyDescent="0.3">
      <c r="A32" t="s">
        <v>126</v>
      </c>
    </row>
    <row r="33" spans="1:1" x14ac:dyDescent="0.3">
      <c r="A33" t="s">
        <v>127</v>
      </c>
    </row>
    <row r="34" spans="1:1" x14ac:dyDescent="0.3">
      <c r="A34" t="s">
        <v>128</v>
      </c>
    </row>
    <row r="35" spans="1:1" x14ac:dyDescent="0.3">
      <c r="A35" t="s">
        <v>129</v>
      </c>
    </row>
    <row r="36" spans="1:1" x14ac:dyDescent="0.3">
      <c r="A36" t="s">
        <v>130</v>
      </c>
    </row>
    <row r="37" spans="1:1" x14ac:dyDescent="0.3">
      <c r="A37" t="s">
        <v>131</v>
      </c>
    </row>
    <row r="38" spans="1:1" x14ac:dyDescent="0.3">
      <c r="A38" t="s">
        <v>132</v>
      </c>
    </row>
    <row r="39" spans="1:1" x14ac:dyDescent="0.3">
      <c r="A39" t="s">
        <v>133</v>
      </c>
    </row>
    <row r="40" spans="1:1" x14ac:dyDescent="0.3">
      <c r="A40" t="s">
        <v>134</v>
      </c>
    </row>
    <row r="41" spans="1:1" x14ac:dyDescent="0.3">
      <c r="A41" t="s">
        <v>135</v>
      </c>
    </row>
    <row r="42" spans="1:1" x14ac:dyDescent="0.3">
      <c r="A42" t="s">
        <v>136</v>
      </c>
    </row>
    <row r="43" spans="1:1" x14ac:dyDescent="0.3">
      <c r="A43" t="s">
        <v>137</v>
      </c>
    </row>
    <row r="44" spans="1:1" x14ac:dyDescent="0.3">
      <c r="A44" t="s">
        <v>138</v>
      </c>
    </row>
    <row r="45" spans="1:1" x14ac:dyDescent="0.3">
      <c r="A45" t="s">
        <v>139</v>
      </c>
    </row>
    <row r="46" spans="1:1" x14ac:dyDescent="0.3">
      <c r="A46" t="s">
        <v>140</v>
      </c>
    </row>
    <row r="47" spans="1:1" x14ac:dyDescent="0.3">
      <c r="A47" t="s">
        <v>141</v>
      </c>
    </row>
    <row r="48" spans="1:1" x14ac:dyDescent="0.3">
      <c r="A48" t="s">
        <v>142</v>
      </c>
    </row>
    <row r="49" spans="1:1" x14ac:dyDescent="0.3">
      <c r="A49" t="s">
        <v>143</v>
      </c>
    </row>
    <row r="50" spans="1:1" x14ac:dyDescent="0.3">
      <c r="A50" t="s">
        <v>144</v>
      </c>
    </row>
    <row r="51" spans="1:1" x14ac:dyDescent="0.3">
      <c r="A51" t="s">
        <v>145</v>
      </c>
    </row>
    <row r="52" spans="1:1" x14ac:dyDescent="0.3">
      <c r="A52" t="s">
        <v>146</v>
      </c>
    </row>
    <row r="53" spans="1:1" x14ac:dyDescent="0.3">
      <c r="A53" t="s">
        <v>147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351B-0308-4CE2-9173-39163568627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2</vt:i4>
      </vt:variant>
    </vt:vector>
  </HeadingPairs>
  <TitlesOfParts>
    <vt:vector size="16" baseType="lpstr">
      <vt:lpstr>Оглавление</vt:lpstr>
      <vt:lpstr>Себестоимость проекта</vt:lpstr>
      <vt:lpstr>Материалы </vt:lpstr>
      <vt:lpstr>ПКИ</vt:lpstr>
      <vt:lpstr>Расчёт трудоемкости</vt:lpstr>
      <vt:lpstr>ФОТ_ОПР_расчёт</vt:lpstr>
      <vt:lpstr>ДЗП_расчёт</vt:lpstr>
      <vt:lpstr>Соц_страх_расчёт</vt:lpstr>
      <vt:lpstr>АУП_ИТР_расчёт</vt:lpstr>
      <vt:lpstr>Обязательное обучение</vt:lpstr>
      <vt:lpstr>Маркетинг</vt:lpstr>
      <vt:lpstr>ОПР_Расчет</vt:lpstr>
      <vt:lpstr>ОХР_Расчет</vt:lpstr>
      <vt:lpstr>Точка безубыточности</vt:lpstr>
      <vt:lpstr>'Себестоимость проекта'!_ftn1</vt:lpstr>
      <vt:lpstr>'Себестоимость проекта'!Область_печати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БЛИНОВА ЕЛЕНА КОНСТАНТИНОВНА</dc:creator>
  <cp:lastModifiedBy>Елена Блинова</cp:lastModifiedBy>
  <dcterms:created xsi:type="dcterms:W3CDTF">2026-09-04T10:22:10Z</dcterms:created>
  <dcterms:modified xsi:type="dcterms:W3CDTF">2026-09-23T23:56:53Z</dcterms:modified>
</cp:coreProperties>
</file>