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autoCompressPictures="0"/>
  <mc:AlternateContent xmlns:mc="http://schemas.openxmlformats.org/markup-compatibility/2006">
    <mc:Choice Requires="x15">
      <x15ac:absPath xmlns:x15ac="http://schemas.microsoft.com/office/spreadsheetml/2010/11/ac" url="C:\Users\bredis.ms\Downloads\"/>
    </mc:Choice>
  </mc:AlternateContent>
  <bookViews>
    <workbookView xWindow="0" yWindow="0" windowWidth="28800" windowHeight="12300"/>
  </bookViews>
  <sheets>
    <sheet name="Критерии" sheetId="38" r:id="rId1"/>
  </sheets>
  <definedNames>
    <definedName name="_xlnm._FilterDatabase" localSheetId="0" hidden="1">Критерии!$C$23:$I$295</definedName>
    <definedName name="_xlnm.Print_Area" localSheetId="0">Критерии!$A$23:$I$295</definedName>
  </definedNames>
  <calcPr calcId="162913"/>
  <extLst>
    <s:ext xmlns:s="http://schemas.openxmlformats.org/spreadsheetml/2006/main" xmlns:unk3="http://schemas.microsoft.com/office/spreadsheetml/2018/calcfeatures"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</unk3:calcFeatures>
    </s:ext>
    <s:ext xmlns:s="http://schemas.openxmlformats.org/spreadsheetml/2006/main" xmlns:unk4="http://schemas.microsoft.com/office/spreadsheetml/2024/workbookCompatibilityVersion" uri="{D14903EA-33C4-47F7-8F05-3474C54BE107}">
      <unk4:version setVersion="1"/>
    </s:ext>
    <s:ext xmlns:s="http://schemas.openxmlformats.org/spreadsheetml/2006/main" xmlns:unk5="http://schemas.microsoft.com/office/mac/excel/2008/main" uri="{7523E5D3-25F3-A5E0-1632-64F254C22452}">
      <unk5:ArchID Flags="2"/>
    </s:ext>
  </extLst>
</workbook>
</file>

<file path=xl/calcChain.xml><?xml version="1.0" encoding="utf-8"?>
<calcChain xmlns="http://schemas.openxmlformats.org/spreadsheetml/2006/main">
  <c r="E11" i="38" l="1"/>
  <c r="E10" i="38"/>
  <c r="E9" i="38"/>
  <c r="E6" i="38"/>
  <c r="E5" i="38"/>
  <c r="E4" i="38"/>
  <c r="E12" i="38" l="1"/>
  <c r="E7" i="38"/>
</calcChain>
</file>

<file path=xl/sharedStrings.xml><?xml version="1.0" encoding="utf-8"?>
<sst xmlns="http://schemas.openxmlformats.org/spreadsheetml/2006/main" count="1115" uniqueCount="361">
  <si>
    <t>Sub
Criteria
ID</t>
  </si>
  <si>
    <t>Sub Criteria
Name or Description</t>
  </si>
  <si>
    <t>Requirement
or Nominal
Size (Obj Only)</t>
  </si>
  <si>
    <t>WSSS Section</t>
  </si>
  <si>
    <t/>
  </si>
  <si>
    <t>Обоснован выбор материалов для детали/узла</t>
  </si>
  <si>
    <t>Минус 0,5 балла, если отсутствует сравнительный анализ с аналогичными материалами-заменителями</t>
  </si>
  <si>
    <t>Соответствие материалов требованиям ТЗ</t>
  </si>
  <si>
    <t>Тех. процесс отсутствует</t>
  </si>
  <si>
    <t>Тех. процесс соответствует КД, выполнен укрупненно</t>
  </si>
  <si>
    <t>Орг. структура отсутствует или не соответствует/не рациональная для данного проекта</t>
  </si>
  <si>
    <t>Орг. структура сформирована, связана с проектом, но есть нарушения в иерархии, не отражены все функциональные блоки/сотрудники</t>
  </si>
  <si>
    <t>Орг. структура сформирована, замечания отсутствуют</t>
  </si>
  <si>
    <t>Орг. структура проработана без замечаний, с учетом изменений численности на каждом этапе проекта</t>
  </si>
  <si>
    <t>Определены затраты на материалы и комплектующие</t>
  </si>
  <si>
    <t>Основные затраты определены, рассчитаны корректно, приведен укрупненный расчет</t>
  </si>
  <si>
    <t>Затраты определены, представлены без ошибок, максимально детализированы</t>
  </si>
  <si>
    <t>Определены затраты на персонал</t>
  </si>
  <si>
    <t>Отсутствует</t>
  </si>
  <si>
    <t>Определены затраты на приобретение производственного оборудования и на строительство/модернизацию производства (расчет капитальных затрат)</t>
  </si>
  <si>
    <t>B1</t>
  </si>
  <si>
    <t>B2</t>
  </si>
  <si>
    <t>Управление сроками и рисками проекта</t>
  </si>
  <si>
    <t>Корректно обозначены риски проекта</t>
  </si>
  <si>
    <t>Риски проекта рассчитаны и проранжированы</t>
  </si>
  <si>
    <t>Корректность дорожной карты</t>
  </si>
  <si>
    <t>Разработана программа ППО</t>
  </si>
  <si>
    <t>Схема кооперации отсутствует или некорректна</t>
  </si>
  <si>
    <t>Схема кооперации содержит неполный перечень взаимодействий</t>
  </si>
  <si>
    <t>Корректность программы ППО</t>
  </si>
  <si>
    <t>Программа ППО отсутствует или некорректна</t>
  </si>
  <si>
    <t>Программа ППО разработана без замечаний, с учетом специфики проекта</t>
  </si>
  <si>
    <t>B3</t>
  </si>
  <si>
    <t>Привлекательность и перспективность идеи</t>
  </si>
  <si>
    <t>Перспективность (проект учитывает современные тенденции развития науки, общества, техники)</t>
  </si>
  <si>
    <t>B4</t>
  </si>
  <si>
    <t>Маркетинговая составляющая в проекте</t>
  </si>
  <si>
    <t>Определена стоимость единицы изделия на рынке</t>
  </si>
  <si>
    <t>Не определена</t>
  </si>
  <si>
    <t>Определена, но некорректно</t>
  </si>
  <si>
    <t>Определена корректно, но не обоснована</t>
  </si>
  <si>
    <t>B5</t>
  </si>
  <si>
    <t>Управление техническим содержанием проекта</t>
  </si>
  <si>
    <t>Разработана компоновочная схема изделия ("взрыв-модель")</t>
  </si>
  <si>
    <t>Разработан чертеж детали/узла</t>
  </si>
  <si>
    <t>Разработана 3D модель детали/узла</t>
  </si>
  <si>
    <t>Разработан тех. процесс изготовления детали/узла</t>
  </si>
  <si>
    <t>Минус 0,5 баллов при отсутствии схемы движения ДСЕ</t>
  </si>
  <si>
    <t>Минус 0,5 баллов, если участок техпроцессу соответствует, но потоки ДСЕ построены нерационально</t>
  </si>
  <si>
    <t>Разработан чертеж оснастки/приспособления</t>
  </si>
  <si>
    <t>Работоспособность идеи</t>
  </si>
  <si>
    <t>Идея не противоречит законам физики, но конструктивное исполнение элементов изделия не позволяет ему технически функционировать</t>
  </si>
  <si>
    <t>Общая компоновка содержит все функциональные элементы</t>
  </si>
  <si>
    <t>Общая компоновка полностью логична и детализирована</t>
  </si>
  <si>
    <t>Нестандартная, но простая деталь</t>
  </si>
  <si>
    <t>Простой сборочный узел или сложная деталь</t>
  </si>
  <si>
    <t>Сложный сборочный узел</t>
  </si>
  <si>
    <t>Разработана 3D модель всего изделия</t>
  </si>
  <si>
    <t>Модель не разработана</t>
  </si>
  <si>
    <t>Простая, не детализированная модель</t>
  </si>
  <si>
    <t>Простая детализированная модель/сложная не детализированная</t>
  </si>
  <si>
    <t>Сложная детализированная модель</t>
  </si>
  <si>
    <t>Тех. процесс отсутствует, некорректен или содержит менее чем 50% необходимых технологических операций</t>
  </si>
  <si>
    <t>Корректность анализа мощностей предприятия</t>
  </si>
  <si>
    <t>Мощности предприятия не проанализированы</t>
  </si>
  <si>
    <t>Корректность разработанного чертежа оснастки/приспособления</t>
  </si>
  <si>
    <t>B6</t>
  </si>
  <si>
    <t>Управление персоналом в проекте</t>
  </si>
  <si>
    <t>Разработана орг. структура предприятия</t>
  </si>
  <si>
    <t>Разработана система оплаты труда и мотивации</t>
  </si>
  <si>
    <t>Разработаны методы подбора персонала, определены источники</t>
  </si>
  <si>
    <t>Корректно определена точка безубыточности (критический объем производства)</t>
  </si>
  <si>
    <t>Корректно рассчитаны срок окупаемости и дисконтированный срок окупаемости</t>
  </si>
  <si>
    <t>Корректно рассчитана чистая приведенная стоимость и индекс окупаемости</t>
  </si>
  <si>
    <t>Корректно рассчитана внутренняя норма доходности</t>
  </si>
  <si>
    <t>Корректно рассчитана цена для конечного потребителя</t>
  </si>
  <si>
    <t>Рассчитана себестоимость изделия</t>
  </si>
  <si>
    <t>Учитывает максимальное количество факторов ее составляющих</t>
  </si>
  <si>
    <t>Схема финансирования и срок возврата заемных средств/инвестиций</t>
  </si>
  <si>
    <t>Не определены источники получения денежных средств</t>
  </si>
  <si>
    <t>Источники получения денежных средств определены, но не обоснованы</t>
  </si>
  <si>
    <t>C1</t>
  </si>
  <si>
    <t>Оформление презентации</t>
  </si>
  <si>
    <t>Минус 0,5 за применение некачественной графики</t>
  </si>
  <si>
    <t>Логичность, структурированность представления материалов</t>
  </si>
  <si>
    <t>Минус 0,5 за нарушение в логике повествования</t>
  </si>
  <si>
    <t>Минус 0,5 за отсутствие инфографики и графических средств представления информации, облегчающих восприятие</t>
  </si>
  <si>
    <t>Вербальные навыки докладчика</t>
  </si>
  <si>
    <t>Минус 0,5 не структурированность речи</t>
  </si>
  <si>
    <t>Минус 0,5 за наличие слов-паразитов</t>
  </si>
  <si>
    <t>Невербальные навыки докладчика</t>
  </si>
  <si>
    <t>Минус 0,5 за отсутствие применения инструментов управления вниманием/эмоционального интеллекта</t>
  </si>
  <si>
    <t>Соблюден временной регламент при защите проекта</t>
  </si>
  <si>
    <t>Корректность ответов на вопросы</t>
  </si>
  <si>
    <t>Даны корректные ответы на все вопросы</t>
  </si>
  <si>
    <t>C2</t>
  </si>
  <si>
    <t>Визуализация конечного продукта для потребителя (дизайн)</t>
  </si>
  <si>
    <t>Модельный ряд (с точки зрения функционала)</t>
  </si>
  <si>
    <t>Минимальные изменения внешнего вида/функционала</t>
  </si>
  <si>
    <t>Изменение внешнего вида и функционала</t>
  </si>
  <si>
    <t>C4</t>
  </si>
  <si>
    <t>Корректность чертежа детали/узла</t>
  </si>
  <si>
    <t>Сложность выбранной детали/узла</t>
  </si>
  <si>
    <t>Спецификация узла</t>
  </si>
  <si>
    <t>Минус 0,5 балла, если отсутствует развернутое обоснование и доказательства выбора материалов для данного продукта с визуализацией</t>
  </si>
  <si>
    <t>Схема кооперации содержит полный перечень взаимодействий с поставщиками, но разработана с замечаниями/нет детализации по поставляемой продукции</t>
  </si>
  <si>
    <t>Схема кооперации содержит полностью полный перечень взаимодействий (поставщиков) и направлений кооперации с подробными ссылками на продукты</t>
  </si>
  <si>
    <t>Даны корректные ответы на 50% и более вопросов</t>
  </si>
  <si>
    <t>Соответствие тех. процесса на изготовление детали/узла КД</t>
  </si>
  <si>
    <t>Не определены/отсутствует расшифровка</t>
  </si>
  <si>
    <t>Расчет затрат сделан, но выполнен с ошибками</t>
  </si>
  <si>
    <t>Разработана укрупненная схема производства изделия</t>
  </si>
  <si>
    <t>Корректность разработанной планировки участка производства для выпуска партии детали/узла</t>
  </si>
  <si>
    <t>Минус 0,2 балла если участок техпроцессу соответствует, но требования стандартов к размещению оборудования/мебели не соблюдаются, не соблюден масштаб</t>
  </si>
  <si>
    <t>Минус 1,0 балл, если участок производства не соответствует техпроцессу по выбранной детали/узлу</t>
  </si>
  <si>
    <t>Соответствие оснастки/приспособления КД</t>
  </si>
  <si>
    <t>Разработана планировка участка производства для выпуска партии детали/узла</t>
  </si>
  <si>
    <t>Чертеж корректен и выполнен в соответствии с требованиями ЕСКД</t>
  </si>
  <si>
    <t>Чертеж корректен, но есть замечания в части требований ЕСКД</t>
  </si>
  <si>
    <t>Спецификация полностью соответствует чертежу, выполнена по ЕСКД, указан материал для деталей, приведены стандартные изделия со ссылками на нормативную документацию</t>
  </si>
  <si>
    <t>Корректность тех. процесса</t>
  </si>
  <si>
    <t>Минус 0,5 баллов, если орг. структура не рациональна для данного проекта</t>
  </si>
  <si>
    <t>Расчет выполнен с ошибками</t>
  </si>
  <si>
    <t>Расчет выполнен корректно</t>
  </si>
  <si>
    <t>Модельный ряд полностью проработан и выполнен полный расчет цены для потребителя</t>
  </si>
  <si>
    <t>Логичность компоновочной схемы изделия ("взрыв-модели")</t>
  </si>
  <si>
    <t>Минус 0,5 балла в случае отсутствия обоснования выбора оснастки/приспособления</t>
  </si>
  <si>
    <t>Корректность расчета технических характеристик изделия</t>
  </si>
  <si>
    <t>Произведен расчет на прочность детали/узла</t>
  </si>
  <si>
    <t>Произведен анализ мощностей предприятия</t>
  </si>
  <si>
    <t>Представлена деталь приближенная к стандартной</t>
  </si>
  <si>
    <t>Корректность расчета на прочность детали/узла</t>
  </si>
  <si>
    <t>Расчет на прочность не произведен или некорректен</t>
  </si>
  <si>
    <t>Расчет на прочность корректен, но отсутствуют выводы и обоснование выбора расчета</t>
  </si>
  <si>
    <t>Расчет на прочность корректен, сделаны выводы, но отсутствует выбор обоснования расчета</t>
  </si>
  <si>
    <t>Расчет на прочность полностью корректен, выводы и обоснование выбора расчета присутствуют</t>
  </si>
  <si>
    <t>Чертеж оснастки/приспособления полностью логичен, содержит все функциональные элементы, выполнен без нарушений нормативной документации</t>
  </si>
  <si>
    <t>Определен объем рынка</t>
  </si>
  <si>
    <t>Рассчитан объем продаж в сегменте</t>
  </si>
  <si>
    <t>Рассчитан объем выручки от реализации</t>
  </si>
  <si>
    <t>Произведен анализ конкурентов</t>
  </si>
  <si>
    <t>Произведен расчет численности и определена структура персонала</t>
  </si>
  <si>
    <t>Корректность и обоснованность расчета затрат на развитие и продвижение</t>
  </si>
  <si>
    <t>Корректность и обоснованность расчета затрат на НИОКР</t>
  </si>
  <si>
    <t>Корректность и обоснованность расчета финансовых потоков на ППО</t>
  </si>
  <si>
    <t>Корректность орг. структуры предприятия</t>
  </si>
  <si>
    <t>Системность отображенной информации в проекте</t>
  </si>
  <si>
    <t>Визуализация проекта</t>
  </si>
  <si>
    <t>Выполнение требований заказчика</t>
  </si>
  <si>
    <t>Чертеж корректен, но в нем присутствуют не все необходимые виды</t>
  </si>
  <si>
    <t>Проработано на 60% (присутствует описание в ПЗ), отдельные элементы конструкции могут вызывать дискомфорт и сложности при эксплуатации, обслуживании</t>
  </si>
  <si>
    <t>Разработана система обучения и подготовки кадров</t>
  </si>
  <si>
    <t>Минус 1,0 балл, если стоимость единицы изделия определена, но не обоснована/нет подтверждения</t>
  </si>
  <si>
    <t>Минус 1,0 балл, если наценка не коррелируется с маркетингом/не обоснована</t>
  </si>
  <si>
    <t>Минус 0,5 баллов, если отсутствует один из показателей</t>
  </si>
  <si>
    <t>Минус 0,5, если отсутствуют необходимые ресурсы на каждом этапе</t>
  </si>
  <si>
    <t>Минус 0,5, если нет цифровой оценки рисков</t>
  </si>
  <si>
    <t>Минус 0,5, если отсутствуют ранжирование</t>
  </si>
  <si>
    <t>Минус 0,5, если антирисковые мероприятия по критичным рискам некорректны</t>
  </si>
  <si>
    <t>Использование неэффективных, устаревших технологий</t>
  </si>
  <si>
    <t>В проекте учтены современные тенденции развития науки и технологий, более чем в 60% предложенных решений, является основой предложенного изделия</t>
  </si>
  <si>
    <t>В пояснительной записке присутствуют все разделы</t>
  </si>
  <si>
    <t>Оформление пояснительной записки</t>
  </si>
  <si>
    <t>Расчет технических характеристик не произведен или некорректен по более 50% минимальных требований КЗ</t>
  </si>
  <si>
    <t>Расчет технических характеристик корректен по всем минимальным и дополнительным требованиям КЗ</t>
  </si>
  <si>
    <t>Расчет технических характеристик корректен не менее чем по 50% минимальных требований КЗ</t>
  </si>
  <si>
    <t>Расчет технических характеристик корректен по всем минимальным и не менее чем по 50% дополнительным требованиям КЗ</t>
  </si>
  <si>
    <t>Программа ППО разработана без замечаний, с учетом специфики проекта и охватывает модельный ряд, приведена стоимость выполнения услуг для заказчика в рамках ППО</t>
  </si>
  <si>
    <t>Спецификация отсутствует или не соответствует чертежу</t>
  </si>
  <si>
    <t>Чертеж отсутствует или не соответствует детали/узлу</t>
  </si>
  <si>
    <t>Описание тех. процесса выполнено полностью с оформлением маршрутной карты, операционной карты, карты эскизов, карты контроля</t>
  </si>
  <si>
    <t>Тех. процесс полностью соответствует КД, максимально детализирован, рационально подобраны способы производства</t>
  </si>
  <si>
    <t>Чертеж оснастки/приспособления отсутствует или разработанная оснастка/приспособление неработоспособна</t>
  </si>
  <si>
    <t>Спецификация соответствует чертежу, но есть замечания в части требований ЕСКД</t>
  </si>
  <si>
    <t>Спецификация полностью соответствует чертежу и выполнена в соответствии с требованиями ЕСКД</t>
  </si>
  <si>
    <t>Чертеж оснастки/приспособления корректен, но выполнен с замечаниями в части требований ЕСКД</t>
  </si>
  <si>
    <t>Новые решения и технологии применены более, чем в 30% технических решений проекта</t>
  </si>
  <si>
    <t>Выполнено творческое задание</t>
  </si>
  <si>
    <t>Креативность выполнения творческого задания</t>
  </si>
  <si>
    <t>При выполнении творческого задания применены дополнительные инструменты для более детального донесения информация до слушателя</t>
  </si>
  <si>
    <t>Творческое задание не выполнено или выполнено с нарушениям требований</t>
  </si>
  <si>
    <t>Творческое задание имеет стандартный вид, отсутствует уникальность</t>
  </si>
  <si>
    <t>Творческое задание выполнено в стиле отражающем уникальность команды</t>
  </si>
  <si>
    <t>Общая компоновка отсутствует или не отображает основной функционал изделия</t>
  </si>
  <si>
    <t>На общей компоновке отображен основной функционал изделия, но есть замечания</t>
  </si>
  <si>
    <t>Представлен анализ применяемого оборудования с описанием или выполнен расчет производственной мощности</t>
  </si>
  <si>
    <t>Представлен анализ применяемого оборудования с описанием и выполнен расчет производственной мощности</t>
  </si>
  <si>
    <t>Представлен анализ применяемого оборудования с описанием и выполнен расчет производственной мощности, приведены выводы по улучшению производственных мощностей</t>
  </si>
  <si>
    <t>Минус 0,8 балла, если материалы частично соответствуют требованиям ТЗ</t>
  </si>
  <si>
    <t>Идея не работоспособна, противоречит фундаментальным законам физики</t>
  </si>
  <si>
    <t>Идея работоспособна, но отсутствуют более 50 % основных элементов изделия</t>
  </si>
  <si>
    <t>Идея работоспособна, присутствуют более 50 % основных элементов изделия</t>
  </si>
  <si>
    <t>Проработано более, чем на 60% (присутствует описание в ПЗ), присутствует детальные картинки, изделие эргономично, просто в применении и обслуживании</t>
  </si>
  <si>
    <t>Проработано на 30% (присутствует описание в ПЗ), устройство не эргономично, неудобно в обслуживании</t>
  </si>
  <si>
    <t>Не проработано (отсутствует описание в ПЗ)</t>
  </si>
  <si>
    <t>Ответы на вопросы даны на менее, чем на 50%</t>
  </si>
  <si>
    <t>Ответы на вопросы не даны</t>
  </si>
  <si>
    <t>Минус 0,5 если отсутствуют антирисковые мероприятия для критичных рисков</t>
  </si>
  <si>
    <t>Минус 1 балл, если порядок эксплуатации не соответствует разработанному изделию</t>
  </si>
  <si>
    <t>Стандартная корректная программа ППО разработана без замечаний, без учета специфики проекта</t>
  </si>
  <si>
    <t>Тех. процесс частично соответствует КД, выполнен укрупненно</t>
  </si>
  <si>
    <t>Антирисковые мероприятия по всем специфичным рискам</t>
  </si>
  <si>
    <t>Новые технологии применены локально- в отдельной детали или узле</t>
  </si>
  <si>
    <t>Минус 0,5, если есть нарушения последовательности/продолжительности этапов реализации</t>
  </si>
  <si>
    <t>Организация работы команды в рамках компетенции</t>
  </si>
  <si>
    <t>Минус 0,2 за наличие лишних предметов и мусора на рабочем месте</t>
  </si>
  <si>
    <t>Минус 0,8 за некорректное поведение по отношению к другим командам, организаторам (нарушение этики поведения и коммуникаций, шум, опоздания и т.д.)</t>
  </si>
  <si>
    <t>Корректность разработанной производственной  схемы кооперации (поставщики и смежники)</t>
  </si>
  <si>
    <t>Программа ППО содержит разделы всего жизненного цикла</t>
  </si>
  <si>
    <t>Минус 0,5 балла, если аналоги с подобным функционалом отсутствуют, но разрабатываются</t>
  </si>
  <si>
    <t>Минус 1,5 балла, если существуют аналоги с подобным функционалом</t>
  </si>
  <si>
    <t>Минус 2,0 балла, если существуют более дешевые аналоги с более широким  функционалом/полный плагиат изделия</t>
  </si>
  <si>
    <t>Определена корректно, обоснована (портрет потребителя, ключевые факторы потребления, статистика и др.), приведены данные для разработки в дальнейшем модельного ряда</t>
  </si>
  <si>
    <t>Определена целевая аудитория, проведена сегментация рынка</t>
  </si>
  <si>
    <t>Объем рынка не определен (цифра без комментария, как она была рассчитана - не считается определением объема рынка) или определен неверно (нарушена логическая цепочка по определению сегментов)</t>
  </si>
  <si>
    <t>Объем рынка определен, но не обоснован</t>
  </si>
  <si>
    <t>Объем рынка определен и обоснован (подкреплен конкретными источниками, ссылками)</t>
  </si>
  <si>
    <t>Объем рынка определен полностью, обоснован с учетом всех целевых групп</t>
  </si>
  <si>
    <t>Анализ не представлен</t>
  </si>
  <si>
    <t>Проведен не корректно</t>
  </si>
  <si>
    <t>Корректно и обоснованно (выявлены существующие и потенциальные конкуренты (с учетом товаров-заменителей)</t>
  </si>
  <si>
    <t>Не разработана</t>
  </si>
  <si>
    <t>План маркетинговых мероприятий разработан некорректно/придена общая, актуальная для всех продуктов схема</t>
  </si>
  <si>
    <t>План маркетинговых мероприятий разработан корректно</t>
  </si>
  <si>
    <t>План маркетинговых мероприятий разработан с учетом ресурсов, учтены каналы сбыта, выбрана и обоснована маркетинговая стратегия</t>
  </si>
  <si>
    <t>Разработана маркетинговая стратегия</t>
  </si>
  <si>
    <t>Удобство эксплуатации и обслуживания (в т. ч. ремонтопригодность)</t>
  </si>
  <si>
    <t>Принцип работы устройства понятен, но не детализирован</t>
  </si>
  <si>
    <t>Принцип работы устройства детализировано описан, понятен</t>
  </si>
  <si>
    <t>Принцип работы устройства описан, детализирован, присутствует дополнительная визуализация (инфографика, схемы, анимация и др.)</t>
  </si>
  <si>
    <t>Описан принцип работы устройства/изделия</t>
  </si>
  <si>
    <t>Соответствие чертежа и 3D модели детали/узла</t>
  </si>
  <si>
    <t>Описание тех. процесса выполнено полностью с оформлением маршрутной или операционной карт</t>
  </si>
  <si>
    <t>Описание тех. процесса выполнено не полностью, но содержит не менее чем 50% необходимых технологических операций</t>
  </si>
  <si>
    <t>Экономическая целесообразность</t>
  </si>
  <si>
    <t>Проект не интересен инвестору, не приносит значительных выгод</t>
  </si>
  <si>
    <t>Проект интересен инвестору при незначительных доработках (экспертам необходимо указать, что конкретно в проекте требует доработки для повышения инвест привлекательности)</t>
  </si>
  <si>
    <t>Затраты определены, представлены без ошибок, максимально детализированы, присутствует подтверждение (ссылки на данные по расходам)</t>
  </si>
  <si>
    <t>Маркетинговые мероприятия/стратегия соответствуют проекту и произведен расчет расходов на маркетинг</t>
  </si>
  <si>
    <t>При разработке мероприятий использованы нестандартные и эффективные методы маркетинга, приведено обоснование в соответствие с маркетинговой стратегией</t>
  </si>
  <si>
    <t>Затраты определены, представлены без ошибок, максимально детализированы, учтен в финансовой модели</t>
  </si>
  <si>
    <t>Источники получения денежных средств определены, обоснованы и реализуемы, но есть неточности в расчетах</t>
  </si>
  <si>
    <t>Источники получения денежных средств определены, обоснованы и реализуемы и/или приведена эффективная нестандартная схема финансового обеспечения</t>
  </si>
  <si>
    <t>Минус 0,5 за отсутствие единого стиля в презентации (цветовая гамма, шрифты, размеры шрифтов, выравнивание и т. д.)</t>
  </si>
  <si>
    <t>Минус 0,5 за отсутствие/некорректность цели выступления ("вы дали задание - мы подготовили доклад")</t>
  </si>
  <si>
    <t>Минус 0,5 за отсутствие выводов (резюме, призыв к действию и др.)</t>
  </si>
  <si>
    <t>Минус 0,5 за избыточность/недостаточность информации в презентации для инвестора</t>
  </si>
  <si>
    <t>Минус 0,5 за неэффективное примение невербальных средств передачи информации (жесты, мимика и т.д) - избыточно или недостаточно</t>
  </si>
  <si>
    <t>Качественная визуализация - фото-реалистичное изображение (нанесены тени, объемы, показано в условиях применения/эксплуатации (в интерьере, экстерьере/на человека и т.д.)</t>
  </si>
  <si>
    <t>Фото-реалистичное изображение с незначительной детализацией</t>
  </si>
  <si>
    <t>Простое изображение</t>
  </si>
  <si>
    <t>Часть проекта интересна инвестору (соотношение показателей DPP и PI (длительный срок окупаемости при низком уровне инвест. привлекательности (1 или ниже 1))</t>
  </si>
  <si>
    <t>Соответствие проекта 1 основному требованию КЗ</t>
  </si>
  <si>
    <t>Соответствие проекта 2 основному требованию КЗ</t>
  </si>
  <si>
    <t>Соответствие проекта 3 основному требованию КЗ</t>
  </si>
  <si>
    <t>Соответствие проекта 4 основному требованию КЗ</t>
  </si>
  <si>
    <t>Соответствие проекта 5 основному требованию КЗ</t>
  </si>
  <si>
    <t>Соответствие проекта 6 основному требованию КЗ</t>
  </si>
  <si>
    <t>Соответствие проекта 7 основному требованию КЗ</t>
  </si>
  <si>
    <t>Соответствие проекта 8 основному требованию КЗ</t>
  </si>
  <si>
    <t>Соответствие проекта 9 основному требованию КЗ</t>
  </si>
  <si>
    <t>Соответствие проекта 10 основному требованию КЗ</t>
  </si>
  <si>
    <t>Соответствие проекта 1 дополнительному требованию КЗ</t>
  </si>
  <si>
    <t>Соответствие проекта 2 дополнительному требованию КЗ</t>
  </si>
  <si>
    <t>Соответствие проекта 3 дополнительному требованию КЗ</t>
  </si>
  <si>
    <t>Соответствие проекта 4 дополнительному требованию КЗ</t>
  </si>
  <si>
    <t>Соответствие проекта 5 дополнительному требованию КЗ</t>
  </si>
  <si>
    <t>Расчет затрат на развитие и продвижение отсутствует</t>
  </si>
  <si>
    <t>Минус 0,4 балл, если не соответствует целевой аудитории</t>
  </si>
  <si>
    <t>Минус 0,4 балл, если не соответствует товарной группе</t>
  </si>
  <si>
    <t>Минус 0,2 балл, если есть арифмитические ошибки</t>
  </si>
  <si>
    <t>Минус 1,0, если не отражен основной состав изделия, перечень операций/этапов, покупные детали)</t>
  </si>
  <si>
    <t>Целостность проекта</t>
  </si>
  <si>
    <t>Совпадение входов и выходов по каждому блоку</t>
  </si>
  <si>
    <t>Блоки проекта не связаны и непоследовательно выстроены, несоответствие более 50% всех входов-выходов по чек-листу</t>
  </si>
  <si>
    <t>Есть отдельные значительные разрывы между блоками, несоответствие 30-50% входов и выходов</t>
  </si>
  <si>
    <t>Есть незначительные разрывы связей между блоками, несооветветствия выявлены менее, чем в 30% критериев по чек-листу</t>
  </si>
  <si>
    <t>Проект целостный, несоответствия выявлены менее, чем в 10% критериев</t>
  </si>
  <si>
    <t>Навыки представления информации заказчику</t>
  </si>
  <si>
    <t>C3</t>
  </si>
  <si>
    <t>Минус 1,0, если отсутствуют риски, специфичные для данного проекта</t>
  </si>
  <si>
    <t>Расчет приведен, но нет пояснения/не обоснован или приведенные данные не соответствуют маркетинговой стратегии</t>
  </si>
  <si>
    <t>Минус 0,5, если отсутствуют в графике ключевые этапы</t>
  </si>
  <si>
    <t>Уникальность и новизна разработанного изделия -использование оригинальных конструктивных и иных решений и инновационные технологий, которые обоснованы и целесообразны</t>
  </si>
  <si>
    <t>Разработан порядок эксплуатации изделия</t>
  </si>
  <si>
    <t>Не описан или не дает понимания о принципе работы</t>
  </si>
  <si>
    <t>Проект интересен инвестору (ПЭЭ, тенденции рынка, высокий уровень доходности + соц. или эко. эффект)</t>
  </si>
  <si>
    <t>Минус 0,5 балла, если пояснительная записка выполнена с нарушением требований КЗ</t>
  </si>
  <si>
    <t>Минус 0,5 балла, если в пояснительной записке отсутствует единый стиль оформления и отсутствует навигация</t>
  </si>
  <si>
    <t>Проведен корректно, со ссылками на источники и с анализом по сравнительным характеристикам</t>
  </si>
  <si>
    <t>Skill name</t>
  </si>
  <si>
    <t>Управление жизненным циклом/управление программой - Life-cycle Management/ Program Management</t>
  </si>
  <si>
    <t>Criteria</t>
  </si>
  <si>
    <t>Mark</t>
  </si>
  <si>
    <t>A</t>
  </si>
  <si>
    <t>Управление командной и личной эффективностью проектной команды в проекте</t>
  </si>
  <si>
    <t>B</t>
  </si>
  <si>
    <t>Управление проектом</t>
  </si>
  <si>
    <t>C</t>
  </si>
  <si>
    <t>Представление данных для инвестора/стейкхолдеров проекта</t>
  </si>
  <si>
    <t>Общие</t>
  </si>
  <si>
    <t>Гуманитарные</t>
  </si>
  <si>
    <t>Технические</t>
  </si>
  <si>
    <t>автоматизирован</t>
  </si>
  <si>
    <t>защита на всем протяжении зоны охраны</t>
  </si>
  <si>
    <t>«свой/чужой»</t>
  </si>
  <si>
    <t>параметры движения судна</t>
  </si>
  <si>
    <t>не снижает пропускную способность</t>
  </si>
  <si>
    <t>сканирование корпуса судна на наличие прикрепленных устройств</t>
  </si>
  <si>
    <t>оповещает спецслужбы</t>
  </si>
  <si>
    <t>останавливает несанкционированное движение объектов и локализует прикрепленные объекты, в том числе блокирует связь на судне</t>
  </si>
  <si>
    <t>не наносит вред флоре и фауне, в том числе миграции</t>
  </si>
  <si>
    <t>обнаруживает и идентифицирует подводные живые/не живые объекты</t>
  </si>
  <si>
    <t>автоматический</t>
  </si>
  <si>
    <t>может базироваться как в воде, так и на суше</t>
  </si>
  <si>
    <t>сканирует внутренние помещения судна</t>
  </si>
  <si>
    <t>формирует «окно», соответствующее габаритам корпуса, 5 м между заграждением и судном</t>
  </si>
  <si>
    <t>обрабатывает одновременно минимум три судна</t>
  </si>
  <si>
    <t>Глеб</t>
  </si>
  <si>
    <t>Иван</t>
  </si>
  <si>
    <t>Лена</t>
  </si>
  <si>
    <t>Маша</t>
  </si>
  <si>
    <t>Владимир</t>
  </si>
  <si>
    <t>Алексей</t>
  </si>
  <si>
    <t>Андрей</t>
  </si>
  <si>
    <t xml:space="preserve">Глеб, Алексей </t>
  </si>
  <si>
    <t xml:space="preserve">Ваня </t>
  </si>
  <si>
    <t>Ваня</t>
  </si>
  <si>
    <t xml:space="preserve">Макс
</t>
  </si>
  <si>
    <t>Макс</t>
  </si>
  <si>
    <t>Макс
Алексей</t>
  </si>
  <si>
    <t>Все</t>
  </si>
  <si>
    <t>Лена
Ваня</t>
  </si>
  <si>
    <t>Маша 
+ докладчик</t>
  </si>
  <si>
    <t>Докладчик</t>
  </si>
  <si>
    <t>Ответственные</t>
  </si>
  <si>
    <t xml:space="preserve">Описание </t>
  </si>
  <si>
    <t>Оценки экспертов</t>
  </si>
  <si>
    <t>Макс. Оценка</t>
  </si>
  <si>
    <t>Макс. оценка</t>
  </si>
  <si>
    <t xml:space="preserve">Глеб,
 Андрей,
 Лена </t>
  </si>
  <si>
    <t xml:space="preserve">Маша,
Все
</t>
  </si>
  <si>
    <t>Маша,
Глеб</t>
  </si>
  <si>
    <t>Лена,
Маша,
Макс</t>
  </si>
  <si>
    <t>Лена,
Глеб,
Макс</t>
  </si>
  <si>
    <t>Лена,
Ваня,
Маша</t>
  </si>
  <si>
    <t>Глеб,
Маша
(шаблон заранее)</t>
  </si>
  <si>
    <t>Маша
(заранее макет)</t>
  </si>
  <si>
    <t>Алексей,
Ваня,
Владимир</t>
  </si>
  <si>
    <t>Глеб,
Андрей,
Ваня,
Алексей</t>
  </si>
  <si>
    <t xml:space="preserve">Ваня,
Макс </t>
  </si>
  <si>
    <t>Макс,
Ваня,
Владимир</t>
  </si>
  <si>
    <t>Алексей,
Глеб</t>
  </si>
  <si>
    <t>Маша, (запросить)
Лена,
Глеб</t>
  </si>
  <si>
    <t>Глеб,
Андрей</t>
  </si>
  <si>
    <r>
      <t xml:space="preserve">Ваня,
Лена,
Маша,
</t>
    </r>
    <r>
      <rPr>
        <sz val="8"/>
        <rFont val="Arial"/>
        <family val="2"/>
        <charset val="204"/>
      </rPr>
      <t>Глеб</t>
    </r>
  </si>
  <si>
    <t>Алексей,
Глеб,
Ваня</t>
  </si>
  <si>
    <t>Маша,
Лена</t>
  </si>
  <si>
    <t>Маша,
Лена,
Глеб</t>
  </si>
  <si>
    <t>Макс,
Алексей,
Лена</t>
  </si>
  <si>
    <t>Доп. описание по критериям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</si>
</sst>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theme="1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0" tint="-4.9989318521683403E-2"/>
      <name val="Arial"/>
      <family val="2"/>
      <charset val="204"/>
    </font>
    <font>
      <sz val="10"/>
      <color theme="0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AFFF"/>
        <bgColor indexed="64"/>
      </patternFill>
    </fill>
    <fill>
      <patternFill patternType="solid">
        <fgColor rgb="FFB3FBE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center" vertical="top"/>
    </xf>
    <xf numFmtId="0" fontId="3" fillId="0" borderId="6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2" fontId="3" fillId="0" borderId="2" xfId="0" applyNumberFormat="1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5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/>
    <xf numFmtId="0" fontId="3" fillId="3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 vertical="top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 vertical="top"/>
    </xf>
    <xf numFmtId="0" fontId="0" fillId="9" borderId="4" xfId="0" applyFill="1" applyBorder="1" applyAlignment="1">
      <alignment horizontal="center" vertical="top"/>
    </xf>
    <xf numFmtId="0" fontId="0" fillId="12" borderId="4" xfId="0" applyFill="1" applyBorder="1" applyAlignment="1">
      <alignment horizontal="center" vertical="top"/>
    </xf>
    <xf numFmtId="0" fontId="0" fillId="0" borderId="8" xfId="0" applyBorder="1"/>
    <xf numFmtId="0" fontId="0" fillId="0" borderId="8" xfId="0" applyBorder="1" applyAlignment="1">
      <alignment vertical="top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3" fillId="0" borderId="2" xfId="0" applyFont="1" applyFill="1" applyBorder="1" applyAlignment="1">
      <alignment horizontal="center" vertical="top" wrapText="1"/>
    </xf>
    <xf numFmtId="2" fontId="0" fillId="0" borderId="10" xfId="0" applyNumberFormat="1" applyBorder="1" applyAlignment="1">
      <alignment horizontal="center"/>
    </xf>
    <xf numFmtId="0" fontId="3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/>
    </xf>
    <xf numFmtId="0" fontId="3" fillId="0" borderId="12" xfId="0" applyFont="1" applyFill="1" applyBorder="1" applyAlignment="1">
      <alignment horizontal="center" vertical="top"/>
    </xf>
    <xf numFmtId="0" fontId="3" fillId="3" borderId="13" xfId="0" applyFont="1" applyFill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3" fillId="0" borderId="13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center"/>
    </xf>
    <xf numFmtId="2" fontId="3" fillId="0" borderId="14" xfId="0" applyNumberFormat="1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top"/>
    </xf>
    <xf numFmtId="2" fontId="3" fillId="0" borderId="16" xfId="0" applyNumberFormat="1" applyFont="1" applyFill="1" applyBorder="1" applyAlignment="1">
      <alignment horizontal="center" vertical="top"/>
    </xf>
    <xf numFmtId="0" fontId="3" fillId="0" borderId="17" xfId="0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center"/>
    </xf>
    <xf numFmtId="2" fontId="3" fillId="0" borderId="18" xfId="0" applyNumberFormat="1" applyFont="1" applyFill="1" applyBorder="1" applyAlignment="1">
      <alignment horizontal="center" vertical="top"/>
    </xf>
    <xf numFmtId="0" fontId="3" fillId="0" borderId="20" xfId="0" applyFont="1" applyBorder="1" applyAlignment="1">
      <alignment horizontal="center" vertical="top" wrapText="1"/>
    </xf>
    <xf numFmtId="0" fontId="3" fillId="0" borderId="20" xfId="0" applyFont="1" applyFill="1" applyBorder="1" applyAlignment="1">
      <alignment horizontal="left" vertical="top" wrapText="1"/>
    </xf>
    <xf numFmtId="0" fontId="3" fillId="0" borderId="20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center"/>
    </xf>
    <xf numFmtId="2" fontId="3" fillId="0" borderId="21" xfId="0" applyNumberFormat="1" applyFont="1" applyFill="1" applyBorder="1" applyAlignment="1">
      <alignment horizontal="center" vertical="top"/>
    </xf>
    <xf numFmtId="0" fontId="3" fillId="0" borderId="22" xfId="0" applyFont="1" applyFill="1" applyBorder="1" applyAlignment="1">
      <alignment horizontal="center" vertical="top"/>
    </xf>
    <xf numFmtId="2" fontId="3" fillId="0" borderId="23" xfId="0" applyNumberFormat="1" applyFont="1" applyFill="1" applyBorder="1" applyAlignment="1">
      <alignment horizontal="center" vertical="top"/>
    </xf>
    <xf numFmtId="0" fontId="3" fillId="0" borderId="22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horizontal="center" vertical="top"/>
    </xf>
    <xf numFmtId="2" fontId="3" fillId="0" borderId="25" xfId="0" applyNumberFormat="1" applyFont="1" applyFill="1" applyBorder="1" applyAlignment="1">
      <alignment horizontal="center" vertical="top"/>
    </xf>
    <xf numFmtId="0" fontId="3" fillId="0" borderId="19" xfId="0" applyFont="1" applyFill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/>
    </xf>
    <xf numFmtId="0" fontId="3" fillId="0" borderId="24" xfId="0" applyFont="1" applyFill="1" applyBorder="1" applyAlignment="1">
      <alignment horizontal="left" vertical="top"/>
    </xf>
    <xf numFmtId="0" fontId="3" fillId="0" borderId="25" xfId="0" applyFont="1" applyFill="1" applyBorder="1" applyAlignment="1">
      <alignment horizontal="left" vertical="top"/>
    </xf>
    <xf numFmtId="0" fontId="3" fillId="0" borderId="0" xfId="0" applyFont="1" applyBorder="1" applyAlignment="1">
      <alignment horizontal="left" wrapText="1"/>
    </xf>
    <xf numFmtId="0" fontId="3" fillId="0" borderId="22" xfId="0" applyFont="1" applyFill="1" applyBorder="1" applyAlignment="1">
      <alignment horizontal="left" vertical="top"/>
    </xf>
    <xf numFmtId="0" fontId="3" fillId="0" borderId="23" xfId="0" applyFont="1" applyFill="1" applyBorder="1" applyAlignment="1">
      <alignment horizontal="left" vertical="top"/>
    </xf>
    <xf numFmtId="0" fontId="3" fillId="0" borderId="22" xfId="0" applyFont="1" applyBorder="1" applyAlignment="1">
      <alignment horizontal="center" vertical="top"/>
    </xf>
    <xf numFmtId="0" fontId="3" fillId="0" borderId="2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/>
    </xf>
    <xf numFmtId="0" fontId="3" fillId="0" borderId="25" xfId="0" applyFont="1" applyBorder="1" applyAlignment="1">
      <alignment horizontal="left" vertical="top"/>
    </xf>
    <xf numFmtId="0" fontId="3" fillId="0" borderId="19" xfId="0" applyFont="1" applyFill="1" applyBorder="1" applyAlignment="1">
      <alignment horizontal="center" vertical="top"/>
    </xf>
    <xf numFmtId="0" fontId="3" fillId="0" borderId="20" xfId="0" applyFont="1" applyBorder="1" applyAlignment="1">
      <alignment horizontal="center"/>
    </xf>
    <xf numFmtId="0" fontId="3" fillId="0" borderId="24" xfId="0" applyFont="1" applyFill="1" applyBorder="1" applyAlignment="1">
      <alignment horizontal="center" vertical="top" wrapText="1"/>
    </xf>
    <xf numFmtId="0" fontId="3" fillId="3" borderId="2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0" fontId="3" fillId="0" borderId="27" xfId="0" applyFont="1" applyFill="1" applyBorder="1" applyAlignment="1">
      <alignment horizontal="left" wrapText="1"/>
    </xf>
    <xf numFmtId="0" fontId="3" fillId="0" borderId="28" xfId="0" applyFont="1" applyFill="1" applyBorder="1" applyAlignment="1">
      <alignment horizontal="left" wrapText="1"/>
    </xf>
    <xf numFmtId="0" fontId="3" fillId="0" borderId="29" xfId="0" applyFont="1" applyFill="1" applyBorder="1" applyAlignment="1">
      <alignment horizontal="left" wrapText="1"/>
    </xf>
    <xf numFmtId="0" fontId="3" fillId="0" borderId="30" xfId="0" applyFont="1" applyFill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1" xfId="0" applyFont="1" applyFill="1" applyBorder="1" applyAlignment="1">
      <alignment horizontal="left" vertical="top" wrapText="1"/>
    </xf>
    <xf numFmtId="0" fontId="3" fillId="0" borderId="31" xfId="0" applyFont="1" applyFill="1" applyBorder="1" applyAlignment="1">
      <alignment horizontal="left"/>
    </xf>
    <xf numFmtId="0" fontId="3" fillId="0" borderId="31" xfId="0" applyFont="1" applyFill="1" applyBorder="1" applyAlignment="1">
      <alignment horizontal="center"/>
    </xf>
    <xf numFmtId="2" fontId="3" fillId="0" borderId="32" xfId="0" applyNumberFormat="1" applyFont="1" applyFill="1" applyBorder="1" applyAlignment="1">
      <alignment horizontal="center" vertical="top"/>
    </xf>
    <xf numFmtId="0" fontId="3" fillId="0" borderId="20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wrapText="1"/>
    </xf>
    <xf numFmtId="0" fontId="3" fillId="13" borderId="20" xfId="0" applyFont="1" applyFill="1" applyBorder="1" applyAlignment="1">
      <alignment horizontal="left" vertical="top" wrapText="1"/>
    </xf>
    <xf numFmtId="0" fontId="3" fillId="13" borderId="2" xfId="0" applyFont="1" applyFill="1" applyBorder="1" applyAlignment="1">
      <alignment horizontal="left" vertical="top" wrapText="1"/>
    </xf>
    <xf numFmtId="0" fontId="3" fillId="14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3" fillId="11" borderId="5" xfId="0" applyFont="1" applyFill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 vertical="top"/>
    </xf>
    <xf numFmtId="0" fontId="3" fillId="14" borderId="20" xfId="0" applyFont="1" applyFill="1" applyBorder="1" applyAlignment="1">
      <alignment horizontal="left" vertical="top" wrapText="1"/>
    </xf>
    <xf numFmtId="0" fontId="3" fillId="12" borderId="20" xfId="0" applyFont="1" applyFill="1" applyBorder="1" applyAlignment="1">
      <alignment horizontal="left" vertical="top" wrapText="1"/>
    </xf>
    <xf numFmtId="0" fontId="3" fillId="10" borderId="20" xfId="0" applyFont="1" applyFill="1" applyBorder="1" applyAlignment="1">
      <alignment horizontal="left" vertical="top" wrapText="1"/>
    </xf>
    <xf numFmtId="0" fontId="3" fillId="11" borderId="20" xfId="0" applyFont="1" applyFill="1" applyBorder="1" applyAlignment="1">
      <alignment horizontal="left" vertical="top" wrapText="1"/>
    </xf>
    <xf numFmtId="0" fontId="0" fillId="14" borderId="4" xfId="0" applyFill="1" applyBorder="1" applyAlignment="1">
      <alignment horizontal="center" vertical="top"/>
    </xf>
    <xf numFmtId="0" fontId="3" fillId="8" borderId="20" xfId="0" applyFont="1" applyFill="1" applyBorder="1" applyAlignment="1">
      <alignment horizontal="left" vertical="top" wrapText="1"/>
    </xf>
    <xf numFmtId="0" fontId="3" fillId="13" borderId="26" xfId="0" applyFont="1" applyFill="1" applyBorder="1" applyAlignment="1">
      <alignment horizontal="left" vertical="top" wrapText="1"/>
    </xf>
    <xf numFmtId="0" fontId="3" fillId="13" borderId="6" xfId="0" applyFont="1" applyFill="1" applyBorder="1" applyAlignment="1">
      <alignment horizontal="left" vertical="top" wrapText="1"/>
    </xf>
    <xf numFmtId="0" fontId="7" fillId="8" borderId="20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/>
    </xf>
    <xf numFmtId="0" fontId="8" fillId="8" borderId="2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 wrapText="1"/>
    </xf>
    <xf numFmtId="0" fontId="6" fillId="13" borderId="2" xfId="0" applyFont="1" applyFill="1" applyBorder="1" applyAlignment="1">
      <alignment horizontal="left" vertical="top" wrapText="1"/>
    </xf>
    <xf numFmtId="0" fontId="3" fillId="11" borderId="6" xfId="0" applyFont="1" applyFill="1" applyBorder="1" applyAlignment="1">
      <alignment horizontal="left" vertical="top" wrapText="1"/>
    </xf>
    <xf numFmtId="0" fontId="3" fillId="12" borderId="6" xfId="0" applyFont="1" applyFill="1" applyBorder="1" applyAlignment="1">
      <alignment horizontal="left" vertical="top" wrapText="1"/>
    </xf>
    <xf numFmtId="0" fontId="3" fillId="10" borderId="31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center" vertical="top" wrapText="1"/>
    </xf>
  </cellXfs>
  <cellStyles count="1">
    <cellStyle name="Обычный" xfId="0" builtinId="0" customBuiltin="1"/>
  </cellStyles>
  <dxfs count="0"/>
  <tableStyles count="0" defaultTableStyle="TableStyleMedium9" defaultPivotStyle="PivotStyleLight16"/>
  <colors>
    <mruColors>
      <color rgb="FFFF9966"/>
      <color rgb="FFB3FBEF"/>
      <color rgb="FFFFAFFF"/>
      <color rgb="FFFFFF71"/>
      <color rgb="FFFFF2CC"/>
      <color rgb="FFFF7C80"/>
      <color rgb="FFFF5050"/>
      <color rgb="FFFFAFAF"/>
      <color rgb="FFFC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R297"/>
  <sheetViews>
    <sheetView tabSelected="1" topLeftCell="C9" zoomScale="110" zoomScaleNormal="120" workbookViewId="0">
      <pane ySplit="13" topLeftCell="A22" activePane="bottomLeft" state="frozen"/>
      <selection activeCell="C9" sqref="C9"/>
      <selection pane="bottomLeft" activeCell="D25" sqref="D25"/>
    </sheetView>
  </sheetViews>
  <sheetFormatPr defaultColWidth="10" defaultRowHeight="12.75" x14ac:dyDescent="0.2"/>
  <cols>
    <col min="1" max="1" width="7.7109375" hidden="1" customWidth="1"/>
    <col min="2" max="2" width="33.140625" style="14" hidden="1" customWidth="1"/>
    <col min="3" max="3" width="14.7109375" style="27" customWidth="1"/>
    <col min="4" max="4" width="52.140625" style="27" customWidth="1"/>
    <col min="5" max="5" width="12.42578125" style="51" customWidth="1"/>
    <col min="6" max="6" width="46.7109375" style="27" customWidth="1"/>
    <col min="7" max="7" width="15.42578125" hidden="1" customWidth="1"/>
    <col min="8" max="8" width="10.140625" hidden="1" customWidth="1"/>
    <col min="9" max="9" width="8.28515625" style="27" customWidth="1"/>
    <col min="10" max="10" width="15.28515625" hidden="1" customWidth="1"/>
  </cols>
  <sheetData>
    <row r="1" spans="2:6" hidden="1" x14ac:dyDescent="0.2">
      <c r="B1"/>
      <c r="C1"/>
      <c r="D1" s="29" t="s">
        <v>290</v>
      </c>
      <c r="E1" s="29"/>
      <c r="F1"/>
    </row>
    <row r="2" spans="2:6" hidden="1" x14ac:dyDescent="0.2">
      <c r="B2"/>
      <c r="C2"/>
      <c r="D2" s="30" t="s">
        <v>291</v>
      </c>
      <c r="E2" s="11"/>
      <c r="F2"/>
    </row>
    <row r="3" spans="2:6" hidden="1" x14ac:dyDescent="0.2">
      <c r="B3"/>
      <c r="C3"/>
      <c r="D3" s="29" t="s">
        <v>292</v>
      </c>
      <c r="E3" s="29" t="s">
        <v>293</v>
      </c>
      <c r="F3" s="31"/>
    </row>
    <row r="4" spans="2:6" hidden="1" x14ac:dyDescent="0.2">
      <c r="B4"/>
      <c r="C4" s="30" t="s">
        <v>294</v>
      </c>
      <c r="D4" s="32" t="s">
        <v>295</v>
      </c>
      <c r="E4" s="33">
        <f>SUM(I24:I75)</f>
        <v>15</v>
      </c>
      <c r="F4" s="34"/>
    </row>
    <row r="5" spans="2:6" hidden="1" x14ac:dyDescent="0.2">
      <c r="B5"/>
      <c r="C5" s="30" t="s">
        <v>296</v>
      </c>
      <c r="D5" s="32" t="s">
        <v>297</v>
      </c>
      <c r="E5" s="33">
        <f>SUM(I77:I245)</f>
        <v>66.5</v>
      </c>
      <c r="F5" s="34"/>
    </row>
    <row r="6" spans="2:6" hidden="1" x14ac:dyDescent="0.2">
      <c r="B6"/>
      <c r="C6" s="30" t="s">
        <v>298</v>
      </c>
      <c r="D6" s="32" t="s">
        <v>299</v>
      </c>
      <c r="E6" s="33">
        <f>SUM(I247:I298)</f>
        <v>18.499999999999986</v>
      </c>
      <c r="F6" s="34"/>
    </row>
    <row r="7" spans="2:6" hidden="1" x14ac:dyDescent="0.2">
      <c r="B7"/>
      <c r="C7"/>
      <c r="D7"/>
      <c r="E7" s="7">
        <f>SUM(E4:E6)</f>
        <v>99.999999999999986</v>
      </c>
      <c r="F7"/>
    </row>
    <row r="8" spans="2:6" hidden="1" x14ac:dyDescent="0.2">
      <c r="B8"/>
      <c r="C8"/>
      <c r="D8"/>
      <c r="E8" s="11"/>
      <c r="F8"/>
    </row>
    <row r="9" spans="2:6" x14ac:dyDescent="0.2">
      <c r="B9"/>
      <c r="C9"/>
      <c r="D9" s="35" t="s">
        <v>300</v>
      </c>
      <c r="E9" s="36">
        <f>COUNTA(D24:D27,D146:D150,D198,D78,D266:D267,D257:D270,D248:D248,D251,D255,D260,#REF!,D281:D295)</f>
        <v>43</v>
      </c>
      <c r="F9" s="37"/>
    </row>
    <row r="10" spans="2:6" x14ac:dyDescent="0.2">
      <c r="B10"/>
      <c r="C10"/>
      <c r="D10" s="38" t="s">
        <v>301</v>
      </c>
      <c r="E10" s="36">
        <f>COUNTA(D107:D109,D113,D219:D223,D224:D236,D46,D241,D56,D61,D51,D71,D66,D84,D87:D88,D90,D92)</f>
        <v>28</v>
      </c>
      <c r="F10" s="37"/>
    </row>
    <row r="11" spans="2:6" x14ac:dyDescent="0.2">
      <c r="B11"/>
      <c r="C11"/>
      <c r="D11" s="39" t="s">
        <v>302</v>
      </c>
      <c r="E11" s="36">
        <f>COUNTA(D110:D111,D133,D139:D145,D153,D158,D163,D168,D173,D178,D183,D188,D36,D193,D203,D208,D101,D275)</f>
        <v>24</v>
      </c>
      <c r="F11" s="37"/>
    </row>
    <row r="12" spans="2:6" x14ac:dyDescent="0.2">
      <c r="B12"/>
      <c r="C12"/>
      <c r="D12"/>
      <c r="E12" s="11">
        <f>SUM(E9:E11)</f>
        <v>95</v>
      </c>
      <c r="F12"/>
    </row>
    <row r="13" spans="2:6" x14ac:dyDescent="0.2">
      <c r="B13"/>
      <c r="C13"/>
      <c r="D13"/>
      <c r="E13" s="11"/>
      <c r="F13"/>
    </row>
    <row r="14" spans="2:6" x14ac:dyDescent="0.2">
      <c r="B14"/>
      <c r="C14" s="44">
        <v>1</v>
      </c>
      <c r="D14" s="59" t="s">
        <v>324</v>
      </c>
      <c r="E14" s="52"/>
      <c r="F14"/>
    </row>
    <row r="15" spans="2:6" x14ac:dyDescent="0.2">
      <c r="B15"/>
      <c r="C15" s="44">
        <v>2</v>
      </c>
      <c r="D15" s="59" t="s">
        <v>318</v>
      </c>
      <c r="E15" s="53"/>
      <c r="F15"/>
    </row>
    <row r="16" spans="2:6" x14ac:dyDescent="0.2">
      <c r="B16"/>
      <c r="C16" s="44">
        <v>3</v>
      </c>
      <c r="D16" s="59" t="s">
        <v>319</v>
      </c>
      <c r="E16" s="54"/>
      <c r="F16"/>
    </row>
    <row r="17" spans="1:18" x14ac:dyDescent="0.2">
      <c r="B17"/>
      <c r="C17" s="44">
        <v>4</v>
      </c>
      <c r="D17" s="59" t="s">
        <v>320</v>
      </c>
      <c r="E17" s="55"/>
      <c r="F17"/>
    </row>
    <row r="18" spans="1:18" x14ac:dyDescent="0.2">
      <c r="C18" s="44">
        <v>5</v>
      </c>
      <c r="D18" s="60" t="s">
        <v>321</v>
      </c>
      <c r="E18" s="56"/>
    </row>
    <row r="19" spans="1:18" x14ac:dyDescent="0.2">
      <c r="C19" s="44">
        <v>6</v>
      </c>
      <c r="D19" s="60" t="s">
        <v>322</v>
      </c>
      <c r="E19" s="57"/>
    </row>
    <row r="20" spans="1:18" x14ac:dyDescent="0.2">
      <c r="C20" s="44">
        <v>7</v>
      </c>
      <c r="D20" s="60" t="s">
        <v>329</v>
      </c>
      <c r="E20" s="58"/>
    </row>
    <row r="21" spans="1:18" x14ac:dyDescent="0.2">
      <c r="C21" s="44">
        <v>8</v>
      </c>
      <c r="D21" s="60" t="s">
        <v>323</v>
      </c>
      <c r="E21" s="134"/>
    </row>
    <row r="22" spans="1:18" ht="13.5" thickBot="1" x14ac:dyDescent="0.25">
      <c r="C22" s="62"/>
    </row>
    <row r="23" spans="1:18" ht="95.45" customHeight="1" thickBot="1" x14ac:dyDescent="0.25">
      <c r="A23" s="4" t="s">
        <v>0</v>
      </c>
      <c r="B23" s="4" t="s">
        <v>1</v>
      </c>
      <c r="C23" s="15" t="s">
        <v>335</v>
      </c>
      <c r="D23" s="15" t="s">
        <v>336</v>
      </c>
      <c r="E23" s="15" t="s">
        <v>337</v>
      </c>
      <c r="F23" s="15" t="s">
        <v>360</v>
      </c>
      <c r="G23" s="4" t="s">
        <v>2</v>
      </c>
      <c r="H23" s="4" t="s">
        <v>3</v>
      </c>
      <c r="I23" s="15" t="s">
        <v>339</v>
      </c>
      <c r="J23" s="6"/>
    </row>
    <row r="24" spans="1:18" ht="24" customHeight="1" x14ac:dyDescent="0.2">
      <c r="A24" s="2"/>
      <c r="B24" s="40"/>
      <c r="C24" s="67" t="s">
        <v>331</v>
      </c>
      <c r="D24" s="68" t="s">
        <v>177</v>
      </c>
      <c r="E24" s="69"/>
      <c r="F24" s="70"/>
      <c r="G24" s="71"/>
      <c r="H24" s="72">
        <v>1</v>
      </c>
      <c r="I24" s="73">
        <v>1</v>
      </c>
      <c r="J24" s="64"/>
      <c r="K24" s="50"/>
      <c r="L24" s="50"/>
      <c r="M24" s="50"/>
      <c r="N24" s="50"/>
      <c r="O24" s="50"/>
      <c r="P24" s="50"/>
      <c r="Q24" s="50"/>
      <c r="R24" s="50"/>
    </row>
    <row r="25" spans="1:18" ht="51" x14ac:dyDescent="0.2">
      <c r="A25" s="2"/>
      <c r="B25" s="40"/>
      <c r="C25" s="74" t="s">
        <v>331</v>
      </c>
      <c r="D25" s="45" t="s">
        <v>204</v>
      </c>
      <c r="E25" s="46"/>
      <c r="F25" s="47" t="s">
        <v>206</v>
      </c>
      <c r="G25" s="48"/>
      <c r="H25" s="49">
        <v>1</v>
      </c>
      <c r="I25" s="75">
        <v>1</v>
      </c>
      <c r="J25" s="64"/>
      <c r="K25" s="50"/>
      <c r="L25" s="50"/>
      <c r="M25" s="50"/>
      <c r="N25" s="50"/>
      <c r="O25" s="50"/>
      <c r="P25" s="50"/>
      <c r="Q25" s="50"/>
      <c r="R25" s="50"/>
    </row>
    <row r="26" spans="1:18" ht="25.5" x14ac:dyDescent="0.2">
      <c r="A26" s="2"/>
      <c r="B26" s="40"/>
      <c r="C26" s="74"/>
      <c r="D26" s="43"/>
      <c r="E26" s="46"/>
      <c r="F26" s="47" t="s">
        <v>205</v>
      </c>
      <c r="G26" s="49"/>
      <c r="H26" s="49"/>
      <c r="I26" s="75"/>
      <c r="J26" s="64"/>
      <c r="K26" s="50"/>
      <c r="L26" s="50"/>
      <c r="M26" s="50"/>
      <c r="N26" s="50"/>
      <c r="O26" s="50"/>
      <c r="P26" s="50"/>
      <c r="Q26" s="50"/>
      <c r="R26" s="50"/>
    </row>
    <row r="27" spans="1:18" x14ac:dyDescent="0.2">
      <c r="A27" s="2"/>
      <c r="B27" s="40"/>
      <c r="C27" s="74" t="s">
        <v>331</v>
      </c>
      <c r="D27" s="45" t="s">
        <v>178</v>
      </c>
      <c r="E27" s="46"/>
      <c r="F27" s="47"/>
      <c r="G27" s="48"/>
      <c r="H27" s="49">
        <v>1</v>
      </c>
      <c r="I27" s="75">
        <v>1</v>
      </c>
      <c r="J27" s="64"/>
      <c r="K27" s="50"/>
      <c r="L27" s="50"/>
      <c r="M27" s="50"/>
      <c r="N27" s="50"/>
      <c r="O27" s="50"/>
      <c r="P27" s="50"/>
      <c r="Q27" s="50"/>
      <c r="R27" s="50"/>
    </row>
    <row r="28" spans="1:18" ht="25.5" x14ac:dyDescent="0.2">
      <c r="A28" s="2"/>
      <c r="B28" s="40"/>
      <c r="C28" s="74"/>
      <c r="D28" s="43"/>
      <c r="E28" s="46">
        <v>0</v>
      </c>
      <c r="F28" s="47" t="s">
        <v>180</v>
      </c>
      <c r="G28" s="48"/>
      <c r="H28" s="49"/>
      <c r="I28" s="75"/>
      <c r="J28" s="64"/>
      <c r="K28" s="50"/>
      <c r="L28" s="50"/>
      <c r="M28" s="50"/>
      <c r="N28" s="50"/>
      <c r="O28" s="50"/>
      <c r="P28" s="50"/>
      <c r="Q28" s="50"/>
      <c r="R28" s="50"/>
    </row>
    <row r="29" spans="1:18" ht="25.5" x14ac:dyDescent="0.2">
      <c r="A29" s="2"/>
      <c r="B29" s="40"/>
      <c r="C29" s="74"/>
      <c r="D29" s="43"/>
      <c r="E29" s="46">
        <v>1</v>
      </c>
      <c r="F29" s="47" t="s">
        <v>181</v>
      </c>
      <c r="G29" s="48"/>
      <c r="H29" s="49"/>
      <c r="I29" s="75"/>
      <c r="J29" s="64"/>
      <c r="K29" s="50"/>
      <c r="L29" s="50"/>
      <c r="M29" s="50"/>
      <c r="N29" s="50"/>
      <c r="O29" s="50"/>
      <c r="P29" s="50"/>
      <c r="Q29" s="50"/>
      <c r="R29" s="50"/>
    </row>
    <row r="30" spans="1:18" ht="25.5" x14ac:dyDescent="0.2">
      <c r="A30" s="2"/>
      <c r="B30" s="40"/>
      <c r="C30" s="74"/>
      <c r="D30" s="43"/>
      <c r="E30" s="46">
        <v>2</v>
      </c>
      <c r="F30" s="47" t="s">
        <v>182</v>
      </c>
      <c r="G30" s="48"/>
      <c r="H30" s="49"/>
      <c r="I30" s="75"/>
      <c r="J30" s="64"/>
      <c r="K30" s="50"/>
      <c r="L30" s="50"/>
      <c r="M30" s="50"/>
      <c r="N30" s="50"/>
      <c r="O30" s="50"/>
      <c r="P30" s="50"/>
      <c r="Q30" s="50"/>
      <c r="R30" s="50"/>
    </row>
    <row r="31" spans="1:18" ht="39" thickBot="1" x14ac:dyDescent="0.25">
      <c r="A31" s="2"/>
      <c r="B31" s="40"/>
      <c r="C31" s="76"/>
      <c r="D31" s="65"/>
      <c r="E31" s="66">
        <v>3</v>
      </c>
      <c r="F31" s="77" t="s">
        <v>179</v>
      </c>
      <c r="G31" s="78"/>
      <c r="H31" s="79"/>
      <c r="I31" s="80"/>
      <c r="J31" s="64"/>
      <c r="K31" s="50"/>
      <c r="L31" s="50"/>
      <c r="M31" s="50"/>
      <c r="N31" s="50"/>
      <c r="O31" s="50"/>
      <c r="P31" s="50"/>
      <c r="Q31" s="50"/>
      <c r="R31" s="50"/>
    </row>
    <row r="32" spans="1:18" ht="38.25" x14ac:dyDescent="0.2">
      <c r="A32" s="2"/>
      <c r="B32" s="40"/>
      <c r="C32" s="91" t="s">
        <v>340</v>
      </c>
      <c r="D32" s="119" t="s">
        <v>5</v>
      </c>
      <c r="E32" s="81" t="s">
        <v>4</v>
      </c>
      <c r="F32" s="82" t="s">
        <v>6</v>
      </c>
      <c r="G32" s="83" t="s">
        <v>4</v>
      </c>
      <c r="H32" s="84">
        <v>4</v>
      </c>
      <c r="I32" s="85">
        <v>1</v>
      </c>
      <c r="J32" s="7"/>
      <c r="O32" s="14"/>
    </row>
    <row r="33" spans="1:16" ht="38.25" x14ac:dyDescent="0.2">
      <c r="A33" s="2"/>
      <c r="B33" s="40"/>
      <c r="C33" s="86"/>
      <c r="D33" s="22"/>
      <c r="E33" s="21"/>
      <c r="F33" s="22" t="s">
        <v>104</v>
      </c>
      <c r="G33" s="9"/>
      <c r="H33" s="10"/>
      <c r="I33" s="87"/>
      <c r="J33" s="7"/>
    </row>
    <row r="34" spans="1:16" ht="25.5" x14ac:dyDescent="0.2">
      <c r="A34" s="2"/>
      <c r="B34" s="40"/>
      <c r="C34" s="88" t="s">
        <v>325</v>
      </c>
      <c r="D34" s="120" t="s">
        <v>7</v>
      </c>
      <c r="E34" s="21" t="s">
        <v>4</v>
      </c>
      <c r="F34" s="22" t="s">
        <v>188</v>
      </c>
      <c r="G34" s="9" t="s">
        <v>4</v>
      </c>
      <c r="H34" s="10">
        <v>4</v>
      </c>
      <c r="I34" s="87">
        <v>1</v>
      </c>
      <c r="J34" s="7"/>
      <c r="N34" s="14"/>
      <c r="O34" s="14"/>
      <c r="P34" s="14"/>
    </row>
    <row r="35" spans="1:16" ht="25.5" x14ac:dyDescent="0.2">
      <c r="A35" s="2"/>
      <c r="B35" s="40"/>
      <c r="C35" s="86" t="s">
        <v>323</v>
      </c>
      <c r="D35" s="121" t="s">
        <v>115</v>
      </c>
      <c r="E35" s="21" t="s">
        <v>4</v>
      </c>
      <c r="F35" s="22" t="s">
        <v>126</v>
      </c>
      <c r="G35" s="9" t="s">
        <v>4</v>
      </c>
      <c r="H35" s="10">
        <v>4</v>
      </c>
      <c r="I35" s="87">
        <v>1</v>
      </c>
      <c r="J35" s="7"/>
    </row>
    <row r="36" spans="1:16" ht="25.5" x14ac:dyDescent="0.2">
      <c r="A36" s="2"/>
      <c r="B36" s="40"/>
      <c r="C36" s="86" t="s">
        <v>318</v>
      </c>
      <c r="D36" s="120" t="s">
        <v>108</v>
      </c>
      <c r="E36" s="21" t="s">
        <v>4</v>
      </c>
      <c r="F36" s="22" t="s">
        <v>4</v>
      </c>
      <c r="G36" s="9" t="s">
        <v>4</v>
      </c>
      <c r="H36" s="10">
        <v>4</v>
      </c>
      <c r="I36" s="87">
        <v>1</v>
      </c>
      <c r="J36" s="7"/>
    </row>
    <row r="37" spans="1:16" x14ac:dyDescent="0.2">
      <c r="A37" s="2"/>
      <c r="B37" s="40"/>
      <c r="C37" s="86" t="s">
        <v>4</v>
      </c>
      <c r="D37" s="22" t="s">
        <v>4</v>
      </c>
      <c r="E37" s="21">
        <v>0</v>
      </c>
      <c r="F37" s="22" t="s">
        <v>8</v>
      </c>
      <c r="G37" s="9" t="s">
        <v>4</v>
      </c>
      <c r="H37" s="10"/>
      <c r="I37" s="87"/>
      <c r="J37" s="7"/>
    </row>
    <row r="38" spans="1:16" ht="25.5" x14ac:dyDescent="0.2">
      <c r="A38" s="2"/>
      <c r="B38" s="40"/>
      <c r="C38" s="86" t="s">
        <v>4</v>
      </c>
      <c r="D38" s="22" t="s">
        <v>4</v>
      </c>
      <c r="E38" s="21">
        <v>1</v>
      </c>
      <c r="F38" s="22" t="s">
        <v>200</v>
      </c>
      <c r="G38" s="9" t="s">
        <v>4</v>
      </c>
      <c r="H38" s="10"/>
      <c r="I38" s="87"/>
      <c r="J38" s="7"/>
    </row>
    <row r="39" spans="1:16" ht="25.5" x14ac:dyDescent="0.2">
      <c r="A39" s="2"/>
      <c r="B39" s="40"/>
      <c r="C39" s="86" t="s">
        <v>4</v>
      </c>
      <c r="D39" s="22" t="s">
        <v>4</v>
      </c>
      <c r="E39" s="21">
        <v>2</v>
      </c>
      <c r="F39" s="22" t="s">
        <v>9</v>
      </c>
      <c r="G39" s="9" t="s">
        <v>4</v>
      </c>
      <c r="H39" s="10"/>
      <c r="I39" s="87"/>
      <c r="J39" s="7"/>
    </row>
    <row r="40" spans="1:16" ht="39" thickBot="1" x14ac:dyDescent="0.25">
      <c r="A40" s="2"/>
      <c r="B40" s="40"/>
      <c r="C40" s="89" t="s">
        <v>4</v>
      </c>
      <c r="D40" s="26" t="s">
        <v>4</v>
      </c>
      <c r="E40" s="25">
        <v>3</v>
      </c>
      <c r="F40" s="26" t="s">
        <v>171</v>
      </c>
      <c r="G40" s="12" t="s">
        <v>4</v>
      </c>
      <c r="H40" s="13"/>
      <c r="I40" s="90"/>
      <c r="J40" s="7"/>
    </row>
    <row r="41" spans="1:16" ht="25.5" x14ac:dyDescent="0.2">
      <c r="A41" s="2"/>
      <c r="B41" s="8"/>
      <c r="C41" s="63" t="s">
        <v>342</v>
      </c>
      <c r="D41" s="124" t="s">
        <v>145</v>
      </c>
      <c r="E41" s="21" t="s">
        <v>4</v>
      </c>
      <c r="F41" s="22" t="s">
        <v>4</v>
      </c>
      <c r="G41" s="9" t="s">
        <v>4</v>
      </c>
      <c r="H41" s="10">
        <v>5</v>
      </c>
      <c r="I41" s="28">
        <v>1</v>
      </c>
      <c r="J41" s="7"/>
    </row>
    <row r="42" spans="1:16" ht="25.5" x14ac:dyDescent="0.2">
      <c r="A42" s="2"/>
      <c r="B42" s="8"/>
      <c r="C42" s="19" t="s">
        <v>4</v>
      </c>
      <c r="D42" s="22" t="s">
        <v>4</v>
      </c>
      <c r="E42" s="21">
        <v>0</v>
      </c>
      <c r="F42" s="22" t="s">
        <v>10</v>
      </c>
      <c r="G42" s="9" t="s">
        <v>4</v>
      </c>
      <c r="H42" s="10"/>
      <c r="I42" s="28"/>
      <c r="J42" s="7"/>
    </row>
    <row r="43" spans="1:16" ht="38.25" x14ac:dyDescent="0.2">
      <c r="A43" s="2"/>
      <c r="B43" s="8"/>
      <c r="C43" s="19" t="s">
        <v>4</v>
      </c>
      <c r="D43" s="22" t="s">
        <v>4</v>
      </c>
      <c r="E43" s="21">
        <v>1</v>
      </c>
      <c r="F43" s="22" t="s">
        <v>11</v>
      </c>
      <c r="G43" s="9" t="s">
        <v>4</v>
      </c>
      <c r="H43" s="10"/>
      <c r="I43" s="28"/>
      <c r="J43" s="7"/>
    </row>
    <row r="44" spans="1:16" ht="25.5" x14ac:dyDescent="0.2">
      <c r="A44" s="2"/>
      <c r="B44" s="8"/>
      <c r="C44" s="19" t="s">
        <v>4</v>
      </c>
      <c r="D44" s="22" t="s">
        <v>4</v>
      </c>
      <c r="E44" s="21">
        <v>2</v>
      </c>
      <c r="F44" s="22" t="s">
        <v>12</v>
      </c>
      <c r="G44" s="9" t="s">
        <v>4</v>
      </c>
      <c r="H44" s="10"/>
      <c r="I44" s="28"/>
      <c r="J44" s="7"/>
    </row>
    <row r="45" spans="1:16" ht="38.25" x14ac:dyDescent="0.2">
      <c r="A45" s="2"/>
      <c r="B45" s="8"/>
      <c r="C45" s="19" t="s">
        <v>4</v>
      </c>
      <c r="D45" s="22" t="s">
        <v>4</v>
      </c>
      <c r="E45" s="21">
        <v>3</v>
      </c>
      <c r="F45" s="22" t="s">
        <v>13</v>
      </c>
      <c r="G45" s="9" t="s">
        <v>4</v>
      </c>
      <c r="H45" s="10"/>
      <c r="I45" s="28"/>
      <c r="J45" s="7"/>
    </row>
    <row r="46" spans="1:16" x14ac:dyDescent="0.2">
      <c r="A46" s="2"/>
      <c r="B46" s="8"/>
      <c r="C46" s="19" t="s">
        <v>320</v>
      </c>
      <c r="D46" s="125" t="s">
        <v>14</v>
      </c>
      <c r="E46" s="21" t="s">
        <v>4</v>
      </c>
      <c r="F46" s="22" t="s">
        <v>4</v>
      </c>
      <c r="G46" s="9" t="s">
        <v>4</v>
      </c>
      <c r="H46" s="10">
        <v>6</v>
      </c>
      <c r="I46" s="28">
        <v>1.5</v>
      </c>
      <c r="J46" s="7"/>
    </row>
    <row r="47" spans="1:16" x14ac:dyDescent="0.2">
      <c r="A47" s="2"/>
      <c r="B47" s="8"/>
      <c r="C47" s="19" t="s">
        <v>4</v>
      </c>
      <c r="D47" s="22" t="s">
        <v>4</v>
      </c>
      <c r="E47" s="21">
        <v>0</v>
      </c>
      <c r="F47" s="22" t="s">
        <v>109</v>
      </c>
      <c r="G47" s="9" t="s">
        <v>4</v>
      </c>
      <c r="H47" s="10"/>
      <c r="I47" s="28"/>
      <c r="J47" s="7"/>
    </row>
    <row r="48" spans="1:16" x14ac:dyDescent="0.2">
      <c r="A48" s="2"/>
      <c r="B48" s="8"/>
      <c r="C48" s="19" t="s">
        <v>4</v>
      </c>
      <c r="D48" s="22" t="s">
        <v>4</v>
      </c>
      <c r="E48" s="21">
        <v>1</v>
      </c>
      <c r="F48" s="22" t="s">
        <v>110</v>
      </c>
      <c r="G48" s="9" t="s">
        <v>4</v>
      </c>
      <c r="H48" s="10"/>
      <c r="I48" s="28"/>
      <c r="J48" s="7"/>
    </row>
    <row r="49" spans="1:10" ht="25.5" x14ac:dyDescent="0.2">
      <c r="A49" s="2"/>
      <c r="B49" s="8"/>
      <c r="C49" s="19" t="s">
        <v>4</v>
      </c>
      <c r="D49" s="22" t="s">
        <v>4</v>
      </c>
      <c r="E49" s="21">
        <v>2</v>
      </c>
      <c r="F49" s="22" t="s">
        <v>15</v>
      </c>
      <c r="G49" s="9" t="s">
        <v>4</v>
      </c>
      <c r="H49" s="10"/>
      <c r="I49" s="28"/>
      <c r="J49" s="7"/>
    </row>
    <row r="50" spans="1:10" ht="25.5" x14ac:dyDescent="0.2">
      <c r="A50" s="2"/>
      <c r="B50" s="8"/>
      <c r="C50" s="19" t="s">
        <v>4</v>
      </c>
      <c r="D50" s="22" t="s">
        <v>4</v>
      </c>
      <c r="E50" s="21">
        <v>3</v>
      </c>
      <c r="F50" s="22" t="s">
        <v>16</v>
      </c>
      <c r="G50" s="9" t="s">
        <v>4</v>
      </c>
      <c r="H50" s="10"/>
      <c r="I50" s="28"/>
      <c r="J50" s="7"/>
    </row>
    <row r="51" spans="1:10" ht="38.25" x14ac:dyDescent="0.2">
      <c r="A51" s="2"/>
      <c r="B51" s="8"/>
      <c r="C51" s="63" t="s">
        <v>343</v>
      </c>
      <c r="D51" s="125" t="s">
        <v>17</v>
      </c>
      <c r="E51" s="21" t="s">
        <v>4</v>
      </c>
      <c r="F51" s="22" t="s">
        <v>4</v>
      </c>
      <c r="G51" s="9" t="s">
        <v>4</v>
      </c>
      <c r="H51" s="10">
        <v>6</v>
      </c>
      <c r="I51" s="28">
        <v>1.5</v>
      </c>
      <c r="J51" s="7"/>
    </row>
    <row r="52" spans="1:10" x14ac:dyDescent="0.2">
      <c r="A52" s="2"/>
      <c r="B52" s="8"/>
      <c r="C52" s="19" t="s">
        <v>4</v>
      </c>
      <c r="D52" s="22" t="s">
        <v>4</v>
      </c>
      <c r="E52" s="21">
        <v>0</v>
      </c>
      <c r="F52" s="22" t="s">
        <v>109</v>
      </c>
      <c r="G52" s="9" t="s">
        <v>4</v>
      </c>
      <c r="H52" s="10"/>
      <c r="I52" s="28"/>
      <c r="J52" s="7"/>
    </row>
    <row r="53" spans="1:10" x14ac:dyDescent="0.2">
      <c r="A53" s="2"/>
      <c r="B53" s="8"/>
      <c r="C53" s="19" t="s">
        <v>4</v>
      </c>
      <c r="D53" s="22" t="s">
        <v>4</v>
      </c>
      <c r="E53" s="21">
        <v>1</v>
      </c>
      <c r="F53" s="22" t="s">
        <v>110</v>
      </c>
      <c r="G53" s="9" t="s">
        <v>4</v>
      </c>
      <c r="H53" s="10"/>
      <c r="I53" s="28"/>
      <c r="J53" s="7"/>
    </row>
    <row r="54" spans="1:10" ht="25.5" x14ac:dyDescent="0.2">
      <c r="A54" s="2"/>
      <c r="B54" s="8"/>
      <c r="C54" s="19" t="s">
        <v>4</v>
      </c>
      <c r="D54" s="22" t="s">
        <v>4</v>
      </c>
      <c r="E54" s="21">
        <v>2</v>
      </c>
      <c r="F54" s="22" t="s">
        <v>15</v>
      </c>
      <c r="G54" s="9" t="s">
        <v>4</v>
      </c>
      <c r="H54" s="10"/>
      <c r="I54" s="28"/>
      <c r="J54" s="7"/>
    </row>
    <row r="55" spans="1:10" ht="38.25" x14ac:dyDescent="0.2">
      <c r="A55" s="2"/>
      <c r="B55" s="8"/>
      <c r="C55" s="19" t="s">
        <v>4</v>
      </c>
      <c r="D55" s="22" t="s">
        <v>4</v>
      </c>
      <c r="E55" s="21">
        <v>3</v>
      </c>
      <c r="F55" s="22" t="s">
        <v>237</v>
      </c>
      <c r="G55" s="9" t="s">
        <v>4</v>
      </c>
      <c r="H55" s="10"/>
      <c r="I55" s="28"/>
      <c r="J55" s="7"/>
    </row>
    <row r="56" spans="1:10" ht="38.25" x14ac:dyDescent="0.2">
      <c r="A56" s="2"/>
      <c r="B56" s="8"/>
      <c r="C56" s="63" t="s">
        <v>344</v>
      </c>
      <c r="D56" s="125" t="s">
        <v>19</v>
      </c>
      <c r="E56" s="21" t="s">
        <v>4</v>
      </c>
      <c r="F56" s="22" t="s">
        <v>4</v>
      </c>
      <c r="G56" s="9" t="s">
        <v>4</v>
      </c>
      <c r="H56" s="10">
        <v>6</v>
      </c>
      <c r="I56" s="28">
        <v>1</v>
      </c>
      <c r="J56" s="7"/>
    </row>
    <row r="57" spans="1:10" x14ac:dyDescent="0.2">
      <c r="A57" s="2"/>
      <c r="B57" s="8"/>
      <c r="C57" s="19" t="s">
        <v>4</v>
      </c>
      <c r="D57" s="22" t="s">
        <v>4</v>
      </c>
      <c r="E57" s="21">
        <v>0</v>
      </c>
      <c r="F57" s="22" t="s">
        <v>109</v>
      </c>
      <c r="G57" s="9" t="s">
        <v>4</v>
      </c>
      <c r="H57" s="10"/>
      <c r="I57" s="28"/>
      <c r="J57" s="7"/>
    </row>
    <row r="58" spans="1:10" x14ac:dyDescent="0.2">
      <c r="A58" s="2"/>
      <c r="B58" s="8"/>
      <c r="C58" s="19" t="s">
        <v>4</v>
      </c>
      <c r="D58" s="22" t="s">
        <v>4</v>
      </c>
      <c r="E58" s="21">
        <v>1</v>
      </c>
      <c r="F58" s="22" t="s">
        <v>110</v>
      </c>
      <c r="G58" s="9" t="s">
        <v>4</v>
      </c>
      <c r="H58" s="10"/>
      <c r="I58" s="28"/>
      <c r="J58" s="7"/>
    </row>
    <row r="59" spans="1:10" ht="25.5" x14ac:dyDescent="0.2">
      <c r="A59" s="2"/>
      <c r="B59" s="8"/>
      <c r="C59" s="19" t="s">
        <v>4</v>
      </c>
      <c r="D59" s="22" t="s">
        <v>4</v>
      </c>
      <c r="E59" s="21">
        <v>2</v>
      </c>
      <c r="F59" s="22" t="s">
        <v>15</v>
      </c>
      <c r="G59" s="9" t="s">
        <v>4</v>
      </c>
      <c r="H59" s="10"/>
      <c r="I59" s="28"/>
      <c r="J59" s="7"/>
    </row>
    <row r="60" spans="1:10" ht="38.25" x14ac:dyDescent="0.2">
      <c r="A60" s="2"/>
      <c r="B60" s="8"/>
      <c r="C60" s="19" t="s">
        <v>4</v>
      </c>
      <c r="D60" s="22" t="s">
        <v>4</v>
      </c>
      <c r="E60" s="21">
        <v>3</v>
      </c>
      <c r="F60" s="22" t="s">
        <v>237</v>
      </c>
      <c r="G60" s="9" t="s">
        <v>4</v>
      </c>
      <c r="H60" s="10"/>
      <c r="I60" s="28"/>
      <c r="J60" s="7"/>
    </row>
    <row r="61" spans="1:10" ht="38.25" x14ac:dyDescent="0.2">
      <c r="A61" s="2"/>
      <c r="B61" s="8"/>
      <c r="C61" s="63" t="s">
        <v>345</v>
      </c>
      <c r="D61" s="125" t="s">
        <v>142</v>
      </c>
      <c r="E61" s="21" t="s">
        <v>4</v>
      </c>
      <c r="F61" s="22" t="s">
        <v>4</v>
      </c>
      <c r="G61" s="9" t="s">
        <v>4</v>
      </c>
      <c r="H61" s="10">
        <v>6</v>
      </c>
      <c r="I61" s="28">
        <v>1</v>
      </c>
      <c r="J61" s="7"/>
    </row>
    <row r="62" spans="1:10" ht="25.5" x14ac:dyDescent="0.2">
      <c r="A62" s="2"/>
      <c r="B62" s="8"/>
      <c r="C62" s="19" t="s">
        <v>4</v>
      </c>
      <c r="D62" s="22" t="s">
        <v>4</v>
      </c>
      <c r="E62" s="21">
        <v>0</v>
      </c>
      <c r="F62" s="22" t="s">
        <v>267</v>
      </c>
      <c r="G62" s="9" t="s">
        <v>4</v>
      </c>
      <c r="H62" s="10"/>
      <c r="I62" s="28"/>
      <c r="J62" s="7"/>
    </row>
    <row r="63" spans="1:10" ht="38.25" x14ac:dyDescent="0.2">
      <c r="A63" s="2"/>
      <c r="B63" s="8"/>
      <c r="C63" s="19" t="s">
        <v>4</v>
      </c>
      <c r="D63" s="22" t="s">
        <v>4</v>
      </c>
      <c r="E63" s="21">
        <v>1</v>
      </c>
      <c r="F63" s="22" t="s">
        <v>281</v>
      </c>
      <c r="G63" s="9" t="s">
        <v>4</v>
      </c>
      <c r="H63" s="10"/>
      <c r="I63" s="28"/>
      <c r="J63" s="7"/>
    </row>
    <row r="64" spans="1:10" ht="38.25" x14ac:dyDescent="0.2">
      <c r="A64" s="2"/>
      <c r="B64" s="8"/>
      <c r="C64" s="19" t="s">
        <v>4</v>
      </c>
      <c r="D64" s="22" t="s">
        <v>4</v>
      </c>
      <c r="E64" s="21">
        <v>2</v>
      </c>
      <c r="F64" s="22" t="s">
        <v>238</v>
      </c>
      <c r="G64" s="9" t="s">
        <v>4</v>
      </c>
      <c r="H64" s="10"/>
      <c r="I64" s="28"/>
      <c r="J64" s="7"/>
    </row>
    <row r="65" spans="1:10" ht="51" x14ac:dyDescent="0.2">
      <c r="A65" s="2"/>
      <c r="B65" s="8"/>
      <c r="C65" s="19" t="s">
        <v>4</v>
      </c>
      <c r="D65" s="22" t="s">
        <v>4</v>
      </c>
      <c r="E65" s="21">
        <v>3</v>
      </c>
      <c r="F65" s="22" t="s">
        <v>239</v>
      </c>
      <c r="G65" s="9" t="s">
        <v>4</v>
      </c>
      <c r="H65" s="10"/>
      <c r="I65" s="28"/>
      <c r="J65" s="7"/>
    </row>
    <row r="66" spans="1:10" ht="39" customHeight="1" x14ac:dyDescent="0.2">
      <c r="A66" s="2"/>
      <c r="B66" s="8"/>
      <c r="C66" s="19" t="s">
        <v>320</v>
      </c>
      <c r="D66" s="125" t="s">
        <v>143</v>
      </c>
      <c r="E66" s="21" t="s">
        <v>4</v>
      </c>
      <c r="F66" s="22" t="s">
        <v>4</v>
      </c>
      <c r="G66" s="9" t="s">
        <v>4</v>
      </c>
      <c r="H66" s="10">
        <v>6</v>
      </c>
      <c r="I66" s="28">
        <v>1</v>
      </c>
      <c r="J66" s="7"/>
    </row>
    <row r="67" spans="1:10" x14ac:dyDescent="0.2">
      <c r="A67" s="2"/>
      <c r="B67" s="8"/>
      <c r="C67" s="19" t="s">
        <v>4</v>
      </c>
      <c r="D67" s="22" t="s">
        <v>4</v>
      </c>
      <c r="E67" s="21">
        <v>0</v>
      </c>
      <c r="F67" s="22" t="s">
        <v>109</v>
      </c>
      <c r="G67" s="9" t="s">
        <v>4</v>
      </c>
      <c r="H67" s="10"/>
      <c r="I67" s="28"/>
      <c r="J67" s="7"/>
    </row>
    <row r="68" spans="1:10" x14ac:dyDescent="0.2">
      <c r="A68" s="2"/>
      <c r="B68" s="8"/>
      <c r="C68" s="19" t="s">
        <v>4</v>
      </c>
      <c r="D68" s="22" t="s">
        <v>4</v>
      </c>
      <c r="E68" s="21">
        <v>1</v>
      </c>
      <c r="F68" s="22" t="s">
        <v>110</v>
      </c>
      <c r="G68" s="9" t="s">
        <v>4</v>
      </c>
      <c r="H68" s="10"/>
      <c r="I68" s="28"/>
      <c r="J68" s="7"/>
    </row>
    <row r="69" spans="1:10" ht="25.5" x14ac:dyDescent="0.2">
      <c r="A69" s="2"/>
      <c r="B69" s="8"/>
      <c r="C69" s="19" t="s">
        <v>4</v>
      </c>
      <c r="D69" s="22" t="s">
        <v>4</v>
      </c>
      <c r="E69" s="21">
        <v>2</v>
      </c>
      <c r="F69" s="22" t="s">
        <v>15</v>
      </c>
      <c r="G69" s="9" t="s">
        <v>4</v>
      </c>
      <c r="H69" s="10"/>
      <c r="I69" s="28"/>
      <c r="J69" s="7"/>
    </row>
    <row r="70" spans="1:10" ht="38.25" x14ac:dyDescent="0.2">
      <c r="A70" s="2"/>
      <c r="B70" s="8"/>
      <c r="C70" s="19" t="s">
        <v>4</v>
      </c>
      <c r="D70" s="22" t="s">
        <v>4</v>
      </c>
      <c r="E70" s="21">
        <v>3</v>
      </c>
      <c r="F70" s="22" t="s">
        <v>237</v>
      </c>
      <c r="G70" s="9" t="s">
        <v>4</v>
      </c>
      <c r="H70" s="10"/>
      <c r="I70" s="28"/>
      <c r="J70" s="7"/>
    </row>
    <row r="71" spans="1:10" ht="25.5" x14ac:dyDescent="0.2">
      <c r="A71" s="2"/>
      <c r="B71" s="8"/>
      <c r="C71" s="19" t="s">
        <v>320</v>
      </c>
      <c r="D71" s="125" t="s">
        <v>144</v>
      </c>
      <c r="E71" s="21" t="s">
        <v>4</v>
      </c>
      <c r="F71" s="22" t="s">
        <v>4</v>
      </c>
      <c r="G71" s="9" t="s">
        <v>4</v>
      </c>
      <c r="H71" s="10">
        <v>6</v>
      </c>
      <c r="I71" s="28">
        <v>1</v>
      </c>
      <c r="J71" s="7"/>
    </row>
    <row r="72" spans="1:10" x14ac:dyDescent="0.2">
      <c r="A72" s="2"/>
      <c r="B72" s="8"/>
      <c r="C72" s="19" t="s">
        <v>4</v>
      </c>
      <c r="D72" s="22" t="s">
        <v>4</v>
      </c>
      <c r="E72" s="21">
        <v>0</v>
      </c>
      <c r="F72" s="22" t="s">
        <v>109</v>
      </c>
      <c r="G72" s="9" t="s">
        <v>4</v>
      </c>
      <c r="H72" s="10"/>
      <c r="I72" s="28"/>
      <c r="J72" s="7"/>
    </row>
    <row r="73" spans="1:10" x14ac:dyDescent="0.2">
      <c r="A73" s="2"/>
      <c r="B73" s="8"/>
      <c r="C73" s="19" t="s">
        <v>4</v>
      </c>
      <c r="D73" s="22" t="s">
        <v>4</v>
      </c>
      <c r="E73" s="21">
        <v>1</v>
      </c>
      <c r="F73" s="22" t="s">
        <v>110</v>
      </c>
      <c r="G73" s="9" t="s">
        <v>4</v>
      </c>
      <c r="H73" s="10"/>
      <c r="I73" s="28"/>
      <c r="J73" s="7"/>
    </row>
    <row r="74" spans="1:10" ht="25.5" x14ac:dyDescent="0.2">
      <c r="A74" s="2"/>
      <c r="B74" s="8"/>
      <c r="C74" s="19" t="s">
        <v>4</v>
      </c>
      <c r="D74" s="22" t="s">
        <v>4</v>
      </c>
      <c r="E74" s="21">
        <v>2</v>
      </c>
      <c r="F74" s="22" t="s">
        <v>15</v>
      </c>
      <c r="G74" s="9" t="s">
        <v>4</v>
      </c>
      <c r="H74" s="10"/>
      <c r="I74" s="28"/>
      <c r="J74" s="7"/>
    </row>
    <row r="75" spans="1:10" ht="39" thickBot="1" x14ac:dyDescent="0.25">
      <c r="A75" s="2"/>
      <c r="B75" s="8"/>
      <c r="C75" s="19" t="s">
        <v>4</v>
      </c>
      <c r="D75" s="22" t="s">
        <v>4</v>
      </c>
      <c r="E75" s="21">
        <v>3</v>
      </c>
      <c r="F75" s="22" t="s">
        <v>240</v>
      </c>
      <c r="G75" s="9" t="s">
        <v>4</v>
      </c>
      <c r="H75" s="10"/>
      <c r="I75" s="28"/>
      <c r="J75" s="7"/>
    </row>
    <row r="76" spans="1:10" ht="39" thickBot="1" x14ac:dyDescent="0.25">
      <c r="A76" s="4" t="s">
        <v>0</v>
      </c>
      <c r="B76" s="4" t="s">
        <v>1</v>
      </c>
      <c r="C76" s="61" t="s">
        <v>335</v>
      </c>
      <c r="D76" s="41" t="s">
        <v>336</v>
      </c>
      <c r="E76" s="41" t="s">
        <v>337</v>
      </c>
      <c r="F76" s="41"/>
      <c r="G76" s="42" t="s">
        <v>2</v>
      </c>
      <c r="H76" s="42" t="s">
        <v>3</v>
      </c>
      <c r="I76" s="41" t="s">
        <v>339</v>
      </c>
      <c r="J76" s="6"/>
    </row>
    <row r="77" spans="1:10" x14ac:dyDescent="0.2">
      <c r="A77" s="2" t="s">
        <v>20</v>
      </c>
      <c r="B77" s="95" t="s">
        <v>272</v>
      </c>
      <c r="C77" s="127" t="s">
        <v>4</v>
      </c>
      <c r="D77" s="117" t="s">
        <v>4</v>
      </c>
      <c r="E77" s="92" t="s">
        <v>4</v>
      </c>
      <c r="F77" s="117" t="s">
        <v>4</v>
      </c>
      <c r="G77" s="128" t="s">
        <v>4</v>
      </c>
      <c r="H77" s="128"/>
      <c r="I77" s="129" t="s">
        <v>4</v>
      </c>
      <c r="J77" s="7"/>
    </row>
    <row r="78" spans="1:10" ht="38.25" x14ac:dyDescent="0.2">
      <c r="A78" s="2"/>
      <c r="B78" s="95"/>
      <c r="C78" s="88" t="s">
        <v>341</v>
      </c>
      <c r="D78" s="126" t="s">
        <v>273</v>
      </c>
      <c r="E78" s="21" t="s">
        <v>4</v>
      </c>
      <c r="F78" s="22" t="s">
        <v>4</v>
      </c>
      <c r="G78" s="9" t="s">
        <v>4</v>
      </c>
      <c r="H78" s="10">
        <v>1</v>
      </c>
      <c r="I78" s="87">
        <v>2</v>
      </c>
      <c r="J78" s="7"/>
    </row>
    <row r="79" spans="1:10" ht="38.25" x14ac:dyDescent="0.2">
      <c r="A79" s="2"/>
      <c r="B79" s="95"/>
      <c r="C79" s="86" t="s">
        <v>4</v>
      </c>
      <c r="D79" s="17" t="s">
        <v>4</v>
      </c>
      <c r="E79" s="21">
        <v>0</v>
      </c>
      <c r="F79" s="22" t="s">
        <v>274</v>
      </c>
      <c r="G79" s="9" t="s">
        <v>4</v>
      </c>
      <c r="H79" s="10"/>
      <c r="I79" s="87"/>
      <c r="J79" s="7"/>
    </row>
    <row r="80" spans="1:10" ht="25.5" x14ac:dyDescent="0.2">
      <c r="A80" s="2"/>
      <c r="B80" s="95"/>
      <c r="C80" s="86" t="s">
        <v>4</v>
      </c>
      <c r="D80" s="17" t="s">
        <v>4</v>
      </c>
      <c r="E80" s="21">
        <v>1</v>
      </c>
      <c r="F80" s="22" t="s">
        <v>275</v>
      </c>
      <c r="G80" s="9" t="s">
        <v>4</v>
      </c>
      <c r="H80" s="10"/>
      <c r="I80" s="87"/>
      <c r="J80" s="7"/>
    </row>
    <row r="81" spans="1:10" ht="38.25" x14ac:dyDescent="0.2">
      <c r="A81" s="2"/>
      <c r="B81" s="95"/>
      <c r="C81" s="86" t="s">
        <v>4</v>
      </c>
      <c r="D81" s="22" t="s">
        <v>4</v>
      </c>
      <c r="E81" s="21">
        <v>2</v>
      </c>
      <c r="F81" s="22" t="s">
        <v>276</v>
      </c>
      <c r="G81" s="9" t="s">
        <v>4</v>
      </c>
      <c r="H81" s="10"/>
      <c r="I81" s="87"/>
      <c r="J81" s="7"/>
    </row>
    <row r="82" spans="1:10" ht="25.5" x14ac:dyDescent="0.2">
      <c r="A82" s="2"/>
      <c r="B82" s="95"/>
      <c r="C82" s="86" t="s">
        <v>4</v>
      </c>
      <c r="D82" s="22" t="s">
        <v>4</v>
      </c>
      <c r="E82" s="21">
        <v>3</v>
      </c>
      <c r="F82" s="22" t="s">
        <v>277</v>
      </c>
      <c r="G82" s="9" t="s">
        <v>4</v>
      </c>
      <c r="H82" s="10"/>
      <c r="I82" s="87"/>
      <c r="J82" s="7"/>
    </row>
    <row r="83" spans="1:10" ht="26.25" thickBot="1" x14ac:dyDescent="0.25">
      <c r="A83" s="2" t="s">
        <v>21</v>
      </c>
      <c r="B83" s="40" t="s">
        <v>22</v>
      </c>
      <c r="C83" s="93" t="s">
        <v>4</v>
      </c>
      <c r="D83" s="26" t="s">
        <v>4</v>
      </c>
      <c r="E83" s="25" t="s">
        <v>4</v>
      </c>
      <c r="F83" s="26" t="s">
        <v>4</v>
      </c>
      <c r="G83" s="12" t="s">
        <v>4</v>
      </c>
      <c r="H83" s="12"/>
      <c r="I83" s="94" t="s">
        <v>4</v>
      </c>
      <c r="J83" s="7"/>
    </row>
    <row r="84" spans="1:10" ht="51" x14ac:dyDescent="0.2">
      <c r="A84" s="2"/>
      <c r="B84" s="8"/>
      <c r="C84" s="63" t="s">
        <v>346</v>
      </c>
      <c r="D84" s="120" t="s">
        <v>25</v>
      </c>
      <c r="E84" s="21" t="s">
        <v>4</v>
      </c>
      <c r="F84" s="22" t="s">
        <v>203</v>
      </c>
      <c r="G84" s="9" t="s">
        <v>4</v>
      </c>
      <c r="H84" s="10">
        <v>2</v>
      </c>
      <c r="I84" s="28">
        <v>1.5</v>
      </c>
      <c r="J84" s="7"/>
    </row>
    <row r="85" spans="1:10" ht="25.5" x14ac:dyDescent="0.2">
      <c r="A85" s="2"/>
      <c r="B85" s="8"/>
      <c r="C85" s="19"/>
      <c r="D85" s="22" t="s">
        <v>4</v>
      </c>
      <c r="E85" s="21" t="s">
        <v>4</v>
      </c>
      <c r="F85" s="22" t="s">
        <v>155</v>
      </c>
      <c r="G85" s="9" t="s">
        <v>4</v>
      </c>
      <c r="H85" s="10"/>
      <c r="I85" s="28"/>
      <c r="J85" s="7"/>
    </row>
    <row r="86" spans="1:10" ht="26.25" thickBot="1" x14ac:dyDescent="0.25">
      <c r="A86" s="2"/>
      <c r="B86" s="8"/>
      <c r="C86" s="19"/>
      <c r="D86" s="22"/>
      <c r="E86" s="21"/>
      <c r="F86" s="22" t="s">
        <v>282</v>
      </c>
      <c r="G86" s="9"/>
      <c r="H86" s="10"/>
      <c r="I86" s="28"/>
      <c r="J86" s="7"/>
    </row>
    <row r="87" spans="1:10" ht="42.75" customHeight="1" x14ac:dyDescent="0.2">
      <c r="A87" s="2" t="s">
        <v>4</v>
      </c>
      <c r="B87" s="40" t="s">
        <v>4</v>
      </c>
      <c r="C87" s="91" t="s">
        <v>347</v>
      </c>
      <c r="D87" s="133" t="s">
        <v>23</v>
      </c>
      <c r="E87" s="92" t="s">
        <v>4</v>
      </c>
      <c r="F87" s="82" t="s">
        <v>280</v>
      </c>
      <c r="G87" s="83" t="s">
        <v>4</v>
      </c>
      <c r="H87" s="84">
        <v>2</v>
      </c>
      <c r="I87" s="85">
        <v>1.5</v>
      </c>
      <c r="J87" s="7"/>
    </row>
    <row r="88" spans="1:10" x14ac:dyDescent="0.2">
      <c r="A88" s="2" t="s">
        <v>4</v>
      </c>
      <c r="B88" s="40" t="s">
        <v>4</v>
      </c>
      <c r="C88" s="86"/>
      <c r="D88" s="124" t="s">
        <v>24</v>
      </c>
      <c r="E88" s="21" t="s">
        <v>4</v>
      </c>
      <c r="F88" s="22" t="s">
        <v>156</v>
      </c>
      <c r="G88" s="9" t="s">
        <v>4</v>
      </c>
      <c r="H88" s="10">
        <v>2</v>
      </c>
      <c r="I88" s="87">
        <v>1</v>
      </c>
      <c r="J88" s="7"/>
    </row>
    <row r="89" spans="1:10" x14ac:dyDescent="0.2">
      <c r="A89" s="2"/>
      <c r="B89" s="40"/>
      <c r="C89" s="86"/>
      <c r="D89" s="22"/>
      <c r="E89" s="21"/>
      <c r="F89" s="22" t="s">
        <v>157</v>
      </c>
      <c r="G89" s="9"/>
      <c r="H89" s="10"/>
      <c r="I89" s="87"/>
      <c r="J89" s="7"/>
    </row>
    <row r="90" spans="1:10" ht="25.5" x14ac:dyDescent="0.2">
      <c r="A90" s="2" t="s">
        <v>4</v>
      </c>
      <c r="B90" s="40" t="s">
        <v>4</v>
      </c>
      <c r="C90" s="86"/>
      <c r="D90" s="124" t="s">
        <v>201</v>
      </c>
      <c r="E90" s="21" t="s">
        <v>4</v>
      </c>
      <c r="F90" s="22" t="s">
        <v>197</v>
      </c>
      <c r="G90" s="9" t="s">
        <v>4</v>
      </c>
      <c r="H90" s="10">
        <v>2</v>
      </c>
      <c r="I90" s="87">
        <v>1</v>
      </c>
      <c r="J90" s="7"/>
    </row>
    <row r="91" spans="1:10" ht="25.5" x14ac:dyDescent="0.2">
      <c r="A91" s="2"/>
      <c r="B91" s="40"/>
      <c r="C91" s="86"/>
      <c r="D91" s="22"/>
      <c r="E91" s="21"/>
      <c r="F91" s="22" t="s">
        <v>158</v>
      </c>
      <c r="G91" s="9"/>
      <c r="H91" s="10"/>
      <c r="I91" s="87"/>
      <c r="J91" s="7"/>
    </row>
    <row r="92" spans="1:10" ht="25.5" x14ac:dyDescent="0.2">
      <c r="A92" s="2" t="s">
        <v>4</v>
      </c>
      <c r="B92" s="40" t="s">
        <v>4</v>
      </c>
      <c r="C92" s="86"/>
      <c r="D92" s="124" t="s">
        <v>207</v>
      </c>
      <c r="E92" s="21" t="s">
        <v>4</v>
      </c>
      <c r="F92" s="22" t="s">
        <v>4</v>
      </c>
      <c r="G92" s="9" t="s">
        <v>4</v>
      </c>
      <c r="H92" s="10">
        <v>2</v>
      </c>
      <c r="I92" s="87">
        <v>1.5</v>
      </c>
      <c r="J92" s="7"/>
    </row>
    <row r="93" spans="1:10" x14ac:dyDescent="0.2">
      <c r="A93" s="2" t="s">
        <v>4</v>
      </c>
      <c r="B93" s="40" t="s">
        <v>4</v>
      </c>
      <c r="C93" s="86" t="s">
        <v>4</v>
      </c>
      <c r="D93" s="22" t="s">
        <v>4</v>
      </c>
      <c r="E93" s="21">
        <v>0</v>
      </c>
      <c r="F93" s="22" t="s">
        <v>27</v>
      </c>
      <c r="G93" s="9" t="s">
        <v>4</v>
      </c>
      <c r="H93" s="10"/>
      <c r="I93" s="87"/>
      <c r="J93" s="7"/>
    </row>
    <row r="94" spans="1:10" ht="25.5" x14ac:dyDescent="0.2">
      <c r="A94" s="2" t="s">
        <v>4</v>
      </c>
      <c r="B94" s="40" t="s">
        <v>4</v>
      </c>
      <c r="C94" s="86" t="s">
        <v>4</v>
      </c>
      <c r="D94" s="22" t="s">
        <v>4</v>
      </c>
      <c r="E94" s="21">
        <v>1</v>
      </c>
      <c r="F94" s="22" t="s">
        <v>28</v>
      </c>
      <c r="G94" s="9" t="s">
        <v>4</v>
      </c>
      <c r="H94" s="10"/>
      <c r="I94" s="87"/>
      <c r="J94" s="7"/>
    </row>
    <row r="95" spans="1:10" ht="51" x14ac:dyDescent="0.2">
      <c r="A95" s="2" t="s">
        <v>4</v>
      </c>
      <c r="B95" s="40" t="s">
        <v>4</v>
      </c>
      <c r="C95" s="86" t="s">
        <v>4</v>
      </c>
      <c r="D95" s="22" t="s">
        <v>4</v>
      </c>
      <c r="E95" s="21">
        <v>2</v>
      </c>
      <c r="F95" s="22" t="s">
        <v>105</v>
      </c>
      <c r="G95" s="9" t="s">
        <v>4</v>
      </c>
      <c r="H95" s="10"/>
      <c r="I95" s="87"/>
      <c r="J95" s="7"/>
    </row>
    <row r="96" spans="1:10" ht="51" x14ac:dyDescent="0.2">
      <c r="A96" s="2" t="s">
        <v>4</v>
      </c>
      <c r="B96" s="40" t="s">
        <v>4</v>
      </c>
      <c r="C96" s="86" t="s">
        <v>4</v>
      </c>
      <c r="D96" s="22" t="s">
        <v>4</v>
      </c>
      <c r="E96" s="21">
        <v>3</v>
      </c>
      <c r="F96" s="22" t="s">
        <v>106</v>
      </c>
      <c r="G96" s="9" t="s">
        <v>4</v>
      </c>
      <c r="H96" s="10"/>
      <c r="I96" s="87"/>
      <c r="J96" s="7"/>
    </row>
    <row r="97" spans="1:10" ht="26.25" thickBot="1" x14ac:dyDescent="0.25">
      <c r="A97" s="2" t="s">
        <v>32</v>
      </c>
      <c r="B97" s="40" t="s">
        <v>33</v>
      </c>
      <c r="C97" s="93" t="s">
        <v>4</v>
      </c>
      <c r="D97" s="26" t="s">
        <v>4</v>
      </c>
      <c r="E97" s="25" t="s">
        <v>4</v>
      </c>
      <c r="F97" s="26" t="s">
        <v>4</v>
      </c>
      <c r="G97" s="12" t="s">
        <v>4</v>
      </c>
      <c r="H97" s="12"/>
      <c r="I97" s="94" t="s">
        <v>4</v>
      </c>
      <c r="J97" s="7"/>
    </row>
    <row r="98" spans="1:10" ht="51" x14ac:dyDescent="0.2">
      <c r="A98" s="2"/>
      <c r="B98" s="40"/>
      <c r="C98" s="91" t="s">
        <v>348</v>
      </c>
      <c r="D98" s="130" t="s">
        <v>283</v>
      </c>
      <c r="E98" s="92"/>
      <c r="F98" s="82" t="s">
        <v>209</v>
      </c>
      <c r="G98" s="83"/>
      <c r="H98" s="84">
        <v>4</v>
      </c>
      <c r="I98" s="85">
        <v>2</v>
      </c>
      <c r="J98" s="7"/>
    </row>
    <row r="99" spans="1:10" ht="25.5" x14ac:dyDescent="0.2">
      <c r="A99" s="2"/>
      <c r="B99" s="40"/>
      <c r="C99" s="96"/>
      <c r="D99" s="22"/>
      <c r="E99" s="21"/>
      <c r="F99" s="22" t="s">
        <v>210</v>
      </c>
      <c r="G99" s="9"/>
      <c r="H99" s="9"/>
      <c r="I99" s="97"/>
      <c r="J99" s="7"/>
    </row>
    <row r="100" spans="1:10" ht="38.25" x14ac:dyDescent="0.2">
      <c r="A100" s="2"/>
      <c r="B100" s="40"/>
      <c r="C100" s="96"/>
      <c r="D100" s="22"/>
      <c r="E100" s="21"/>
      <c r="F100" s="22" t="s">
        <v>211</v>
      </c>
      <c r="G100" s="9"/>
      <c r="H100" s="9"/>
      <c r="I100" s="97"/>
      <c r="J100" s="7"/>
    </row>
    <row r="101" spans="1:10" ht="25.5" x14ac:dyDescent="0.2">
      <c r="A101" s="2"/>
      <c r="B101" s="95"/>
      <c r="C101" s="86"/>
      <c r="D101" s="121" t="s">
        <v>34</v>
      </c>
      <c r="E101" s="21" t="s">
        <v>4</v>
      </c>
      <c r="F101" s="22" t="s">
        <v>4</v>
      </c>
      <c r="G101" s="9" t="s">
        <v>4</v>
      </c>
      <c r="H101" s="10">
        <v>4</v>
      </c>
      <c r="I101" s="87">
        <v>1.5</v>
      </c>
      <c r="J101" s="7"/>
    </row>
    <row r="102" spans="1:10" ht="25.5" x14ac:dyDescent="0.2">
      <c r="A102" s="2"/>
      <c r="B102" s="95"/>
      <c r="C102" s="98"/>
      <c r="D102" s="22"/>
      <c r="E102" s="21">
        <v>0</v>
      </c>
      <c r="F102" s="22" t="s">
        <v>159</v>
      </c>
      <c r="G102" s="9"/>
      <c r="H102" s="10"/>
      <c r="I102" s="87"/>
      <c r="J102" s="7"/>
    </row>
    <row r="103" spans="1:10" ht="25.5" x14ac:dyDescent="0.2">
      <c r="A103" s="2"/>
      <c r="B103" s="95"/>
      <c r="C103" s="98"/>
      <c r="D103" s="22"/>
      <c r="E103" s="21">
        <v>1</v>
      </c>
      <c r="F103" s="22" t="s">
        <v>202</v>
      </c>
      <c r="G103" s="9"/>
      <c r="H103" s="10"/>
      <c r="I103" s="87"/>
      <c r="J103" s="7"/>
    </row>
    <row r="104" spans="1:10" ht="25.5" x14ac:dyDescent="0.2">
      <c r="A104" s="2"/>
      <c r="B104" s="95"/>
      <c r="C104" s="98"/>
      <c r="D104" s="22"/>
      <c r="E104" s="21">
        <v>2</v>
      </c>
      <c r="F104" s="22" t="s">
        <v>176</v>
      </c>
      <c r="G104" s="9"/>
      <c r="H104" s="10"/>
      <c r="I104" s="87"/>
      <c r="J104" s="7"/>
    </row>
    <row r="105" spans="1:10" ht="51" x14ac:dyDescent="0.2">
      <c r="A105" s="2"/>
      <c r="B105" s="95"/>
      <c r="C105" s="98"/>
      <c r="D105" s="22"/>
      <c r="E105" s="21">
        <v>3</v>
      </c>
      <c r="F105" s="22" t="s">
        <v>160</v>
      </c>
      <c r="G105" s="9"/>
      <c r="H105" s="10"/>
      <c r="I105" s="87"/>
      <c r="J105" s="7"/>
    </row>
    <row r="106" spans="1:10" ht="26.25" thickBot="1" x14ac:dyDescent="0.25">
      <c r="A106" s="2" t="s">
        <v>35</v>
      </c>
      <c r="B106" s="95" t="s">
        <v>36</v>
      </c>
      <c r="C106" s="99"/>
      <c r="D106" s="100"/>
      <c r="E106" s="25"/>
      <c r="F106" s="100"/>
      <c r="G106" s="101"/>
      <c r="H106" s="101"/>
      <c r="I106" s="102"/>
      <c r="J106" s="7"/>
    </row>
    <row r="107" spans="1:10" ht="25.5" x14ac:dyDescent="0.2">
      <c r="A107" s="2" t="s">
        <v>4</v>
      </c>
      <c r="B107" s="40" t="s">
        <v>4</v>
      </c>
      <c r="C107" s="103" t="s">
        <v>326</v>
      </c>
      <c r="D107" s="138" t="s">
        <v>138</v>
      </c>
      <c r="E107" s="92" t="s">
        <v>4</v>
      </c>
      <c r="F107" s="82" t="s">
        <v>268</v>
      </c>
      <c r="G107" s="83" t="s">
        <v>4</v>
      </c>
      <c r="H107" s="84">
        <v>3</v>
      </c>
      <c r="I107" s="85">
        <v>1</v>
      </c>
      <c r="J107" s="7"/>
    </row>
    <row r="108" spans="1:10" ht="25.5" x14ac:dyDescent="0.2">
      <c r="A108" s="2"/>
      <c r="B108" s="40"/>
      <c r="C108" s="86"/>
      <c r="D108" s="22"/>
      <c r="E108" s="140"/>
      <c r="F108" s="22" t="s">
        <v>269</v>
      </c>
      <c r="G108" s="9"/>
      <c r="H108" s="10"/>
      <c r="I108" s="87"/>
      <c r="J108" s="7"/>
    </row>
    <row r="109" spans="1:10" ht="13.5" thickBot="1" x14ac:dyDescent="0.25">
      <c r="A109" s="2"/>
      <c r="B109" s="40"/>
      <c r="C109" s="89"/>
      <c r="D109" s="26"/>
      <c r="E109" s="25"/>
      <c r="F109" s="26" t="s">
        <v>270</v>
      </c>
      <c r="G109" s="12"/>
      <c r="H109" s="13"/>
      <c r="I109" s="90"/>
      <c r="J109" s="7"/>
    </row>
    <row r="110" spans="1:10" ht="51" x14ac:dyDescent="0.2">
      <c r="A110" s="2"/>
      <c r="B110" s="40"/>
      <c r="C110" s="91" t="s">
        <v>349</v>
      </c>
      <c r="D110" s="136" t="s">
        <v>284</v>
      </c>
      <c r="E110" s="92"/>
      <c r="F110" s="82" t="s">
        <v>198</v>
      </c>
      <c r="G110" s="83"/>
      <c r="H110" s="104">
        <v>3</v>
      </c>
      <c r="I110" s="85">
        <v>1</v>
      </c>
      <c r="J110" s="7"/>
    </row>
    <row r="111" spans="1:10" x14ac:dyDescent="0.2">
      <c r="A111" s="2"/>
      <c r="B111" s="40"/>
      <c r="C111" s="86"/>
      <c r="D111" s="120" t="s">
        <v>26</v>
      </c>
      <c r="E111" s="21" t="s">
        <v>4</v>
      </c>
      <c r="F111" s="22" t="s">
        <v>4</v>
      </c>
      <c r="G111" s="9" t="s">
        <v>4</v>
      </c>
      <c r="H111" s="10">
        <v>3</v>
      </c>
      <c r="I111" s="87">
        <v>0.5</v>
      </c>
      <c r="J111" s="7"/>
    </row>
    <row r="112" spans="1:10" ht="26.25" thickBot="1" x14ac:dyDescent="0.25">
      <c r="A112" s="2"/>
      <c r="B112" s="40"/>
      <c r="C112" s="89"/>
      <c r="D112" s="137" t="s">
        <v>208</v>
      </c>
      <c r="E112" s="25"/>
      <c r="F112" s="26"/>
      <c r="G112" s="12"/>
      <c r="H112" s="13">
        <v>3</v>
      </c>
      <c r="I112" s="90">
        <v>1</v>
      </c>
      <c r="J112" s="7"/>
    </row>
    <row r="113" spans="1:10" ht="25.5" x14ac:dyDescent="0.2">
      <c r="A113" s="2" t="s">
        <v>4</v>
      </c>
      <c r="B113" s="40" t="s">
        <v>4</v>
      </c>
      <c r="C113" s="91" t="s">
        <v>350</v>
      </c>
      <c r="D113" s="138" t="s">
        <v>213</v>
      </c>
      <c r="E113" s="92" t="s">
        <v>4</v>
      </c>
      <c r="F113" s="82" t="s">
        <v>4</v>
      </c>
      <c r="G113" s="83" t="s">
        <v>4</v>
      </c>
      <c r="H113" s="84">
        <v>3</v>
      </c>
      <c r="I113" s="85">
        <v>1.5</v>
      </c>
      <c r="J113" s="7"/>
    </row>
    <row r="114" spans="1:10" x14ac:dyDescent="0.2">
      <c r="A114" s="2" t="s">
        <v>4</v>
      </c>
      <c r="B114" s="40" t="s">
        <v>4</v>
      </c>
      <c r="C114" s="86" t="s">
        <v>4</v>
      </c>
      <c r="D114" s="22" t="s">
        <v>4</v>
      </c>
      <c r="E114" s="21">
        <v>0</v>
      </c>
      <c r="F114" s="22" t="s">
        <v>38</v>
      </c>
      <c r="G114" s="9" t="s">
        <v>4</v>
      </c>
      <c r="H114" s="10"/>
      <c r="I114" s="87"/>
      <c r="J114" s="7"/>
    </row>
    <row r="115" spans="1:10" x14ac:dyDescent="0.2">
      <c r="A115" s="2" t="s">
        <v>4</v>
      </c>
      <c r="B115" s="40" t="s">
        <v>4</v>
      </c>
      <c r="C115" s="86" t="s">
        <v>4</v>
      </c>
      <c r="D115" s="22" t="s">
        <v>4</v>
      </c>
      <c r="E115" s="21">
        <v>1</v>
      </c>
      <c r="F115" s="22" t="s">
        <v>39</v>
      </c>
      <c r="G115" s="9" t="s">
        <v>4</v>
      </c>
      <c r="H115" s="10"/>
      <c r="I115" s="87"/>
      <c r="J115" s="7"/>
    </row>
    <row r="116" spans="1:10" x14ac:dyDescent="0.2">
      <c r="A116" s="2" t="s">
        <v>4</v>
      </c>
      <c r="B116" s="40" t="s">
        <v>4</v>
      </c>
      <c r="C116" s="86" t="s">
        <v>4</v>
      </c>
      <c r="D116" s="22" t="s">
        <v>4</v>
      </c>
      <c r="E116" s="21">
        <v>2</v>
      </c>
      <c r="F116" s="22" t="s">
        <v>40</v>
      </c>
      <c r="G116" s="9" t="s">
        <v>4</v>
      </c>
      <c r="H116" s="10"/>
      <c r="I116" s="87"/>
      <c r="J116" s="7"/>
    </row>
    <row r="117" spans="1:10" ht="51" x14ac:dyDescent="0.2">
      <c r="A117" s="2" t="s">
        <v>4</v>
      </c>
      <c r="B117" s="40" t="s">
        <v>4</v>
      </c>
      <c r="C117" s="86" t="s">
        <v>4</v>
      </c>
      <c r="D117" s="22" t="s">
        <v>4</v>
      </c>
      <c r="E117" s="21">
        <v>3</v>
      </c>
      <c r="F117" s="22" t="s">
        <v>212</v>
      </c>
      <c r="G117" s="9" t="s">
        <v>4</v>
      </c>
      <c r="H117" s="10"/>
      <c r="I117" s="87"/>
      <c r="J117" s="7"/>
    </row>
    <row r="118" spans="1:10" x14ac:dyDescent="0.2">
      <c r="A118" s="2"/>
      <c r="B118" s="40"/>
      <c r="C118" s="86" t="s">
        <v>326</v>
      </c>
      <c r="D118" s="139" t="s">
        <v>137</v>
      </c>
      <c r="E118" s="21"/>
      <c r="F118" s="22"/>
      <c r="G118" s="9"/>
      <c r="H118" s="10">
        <v>3</v>
      </c>
      <c r="I118" s="87">
        <v>1.5</v>
      </c>
      <c r="J118" s="7"/>
    </row>
    <row r="119" spans="1:10" ht="63.75" x14ac:dyDescent="0.2">
      <c r="A119" s="2"/>
      <c r="B119" s="40"/>
      <c r="C119" s="86"/>
      <c r="D119" s="22"/>
      <c r="E119" s="21">
        <v>0</v>
      </c>
      <c r="F119" s="22" t="s">
        <v>214</v>
      </c>
      <c r="G119" s="9"/>
      <c r="H119" s="10"/>
      <c r="I119" s="87"/>
      <c r="J119" s="7"/>
    </row>
    <row r="120" spans="1:10" x14ac:dyDescent="0.2">
      <c r="A120" s="2"/>
      <c r="B120" s="40"/>
      <c r="C120" s="86"/>
      <c r="D120" s="22"/>
      <c r="E120" s="21">
        <v>1</v>
      </c>
      <c r="F120" s="22" t="s">
        <v>215</v>
      </c>
      <c r="G120" s="9"/>
      <c r="H120" s="10"/>
      <c r="I120" s="87"/>
      <c r="J120" s="7"/>
    </row>
    <row r="121" spans="1:10" ht="25.5" x14ac:dyDescent="0.2">
      <c r="A121" s="2"/>
      <c r="B121" s="40"/>
      <c r="C121" s="86"/>
      <c r="D121" s="22"/>
      <c r="E121" s="21">
        <v>2</v>
      </c>
      <c r="F121" s="22" t="s">
        <v>216</v>
      </c>
      <c r="G121" s="9"/>
      <c r="H121" s="10"/>
      <c r="I121" s="87"/>
      <c r="J121" s="7"/>
    </row>
    <row r="122" spans="1:10" ht="25.5" x14ac:dyDescent="0.2">
      <c r="A122" s="2"/>
      <c r="B122" s="40"/>
      <c r="C122" s="86"/>
      <c r="D122" s="22"/>
      <c r="E122" s="21">
        <v>3</v>
      </c>
      <c r="F122" s="22" t="s">
        <v>217</v>
      </c>
      <c r="G122" s="9"/>
      <c r="H122" s="10"/>
      <c r="I122" s="87"/>
      <c r="J122" s="7"/>
    </row>
    <row r="123" spans="1:10" x14ac:dyDescent="0.2">
      <c r="A123" s="2"/>
      <c r="B123" s="40"/>
      <c r="C123" s="86" t="s">
        <v>327</v>
      </c>
      <c r="D123" s="141" t="s">
        <v>140</v>
      </c>
      <c r="E123" s="21"/>
      <c r="F123" s="22"/>
      <c r="G123" s="9"/>
      <c r="H123" s="10">
        <v>3</v>
      </c>
      <c r="I123" s="87">
        <v>1</v>
      </c>
      <c r="J123" s="7"/>
    </row>
    <row r="124" spans="1:10" x14ac:dyDescent="0.2">
      <c r="A124" s="2"/>
      <c r="B124" s="40"/>
      <c r="C124" s="86"/>
      <c r="D124" s="22"/>
      <c r="E124" s="21">
        <v>0</v>
      </c>
      <c r="F124" s="22" t="s">
        <v>218</v>
      </c>
      <c r="G124" s="9"/>
      <c r="H124" s="10"/>
      <c r="I124" s="87"/>
      <c r="J124" s="7"/>
    </row>
    <row r="125" spans="1:10" x14ac:dyDescent="0.2">
      <c r="A125" s="2"/>
      <c r="B125" s="40"/>
      <c r="C125" s="86"/>
      <c r="D125" s="22"/>
      <c r="E125" s="21">
        <v>1</v>
      </c>
      <c r="F125" s="22" t="s">
        <v>219</v>
      </c>
      <c r="G125" s="9"/>
      <c r="H125" s="10"/>
      <c r="I125" s="87"/>
      <c r="J125" s="7"/>
    </row>
    <row r="126" spans="1:10" ht="25.5" x14ac:dyDescent="0.2">
      <c r="A126" s="2"/>
      <c r="B126" s="40"/>
      <c r="C126" s="86"/>
      <c r="D126" s="22"/>
      <c r="E126" s="21">
        <v>2</v>
      </c>
      <c r="F126" s="22" t="s">
        <v>289</v>
      </c>
      <c r="G126" s="9"/>
      <c r="H126" s="10"/>
      <c r="I126" s="87"/>
      <c r="J126" s="7"/>
    </row>
    <row r="127" spans="1:10" ht="38.25" x14ac:dyDescent="0.2">
      <c r="A127" s="2"/>
      <c r="B127" s="40"/>
      <c r="C127" s="86"/>
      <c r="D127" s="22"/>
      <c r="E127" s="21">
        <v>3</v>
      </c>
      <c r="F127" s="22" t="s">
        <v>220</v>
      </c>
      <c r="G127" s="9"/>
      <c r="H127" s="10"/>
      <c r="I127" s="87"/>
      <c r="J127" s="7"/>
    </row>
    <row r="128" spans="1:10" ht="38.25" x14ac:dyDescent="0.2">
      <c r="A128" s="2"/>
      <c r="B128" s="40"/>
      <c r="C128" s="88" t="s">
        <v>351</v>
      </c>
      <c r="D128" s="123" t="s">
        <v>225</v>
      </c>
      <c r="E128" s="21"/>
      <c r="F128" s="22"/>
      <c r="G128" s="9"/>
      <c r="H128" s="10">
        <v>3</v>
      </c>
      <c r="I128" s="87">
        <v>1</v>
      </c>
      <c r="J128" s="7"/>
    </row>
    <row r="129" spans="1:10" x14ac:dyDescent="0.2">
      <c r="A129" s="2"/>
      <c r="B129" s="40"/>
      <c r="C129" s="86"/>
      <c r="D129" s="22"/>
      <c r="E129" s="21">
        <v>0</v>
      </c>
      <c r="F129" s="22" t="s">
        <v>221</v>
      </c>
      <c r="G129" s="9"/>
      <c r="H129" s="10"/>
      <c r="I129" s="87"/>
      <c r="J129" s="7"/>
    </row>
    <row r="130" spans="1:10" ht="38.25" x14ac:dyDescent="0.2">
      <c r="A130" s="2"/>
      <c r="B130" s="40"/>
      <c r="C130" s="86"/>
      <c r="D130" s="22"/>
      <c r="E130" s="21">
        <v>1</v>
      </c>
      <c r="F130" s="22" t="s">
        <v>222</v>
      </c>
      <c r="G130" s="9"/>
      <c r="H130" s="10"/>
      <c r="I130" s="87"/>
      <c r="J130" s="7"/>
    </row>
    <row r="131" spans="1:10" ht="25.5" x14ac:dyDescent="0.2">
      <c r="A131" s="2"/>
      <c r="B131" s="40"/>
      <c r="C131" s="86"/>
      <c r="D131" s="22"/>
      <c r="E131" s="21">
        <v>2</v>
      </c>
      <c r="F131" s="22" t="s">
        <v>223</v>
      </c>
      <c r="G131" s="9"/>
      <c r="H131" s="10"/>
      <c r="I131" s="87"/>
      <c r="J131" s="7"/>
    </row>
    <row r="132" spans="1:10" ht="39" thickBot="1" x14ac:dyDescent="0.25">
      <c r="A132" s="2"/>
      <c r="B132" s="40"/>
      <c r="C132" s="89"/>
      <c r="D132" s="26"/>
      <c r="E132" s="25">
        <v>3</v>
      </c>
      <c r="F132" s="26" t="s">
        <v>224</v>
      </c>
      <c r="G132" s="12"/>
      <c r="H132" s="13"/>
      <c r="I132" s="90"/>
      <c r="J132" s="7"/>
    </row>
    <row r="133" spans="1:10" ht="51" x14ac:dyDescent="0.2">
      <c r="A133" s="2"/>
      <c r="B133" s="40"/>
      <c r="C133" s="91" t="s">
        <v>349</v>
      </c>
      <c r="D133" s="119" t="s">
        <v>29</v>
      </c>
      <c r="E133" s="92" t="s">
        <v>4</v>
      </c>
      <c r="F133" s="82" t="s">
        <v>4</v>
      </c>
      <c r="G133" s="83" t="s">
        <v>4</v>
      </c>
      <c r="H133" s="84">
        <v>3</v>
      </c>
      <c r="I133" s="85">
        <v>1</v>
      </c>
      <c r="J133" s="7"/>
    </row>
    <row r="134" spans="1:10" x14ac:dyDescent="0.2">
      <c r="A134" s="2"/>
      <c r="B134" s="40"/>
      <c r="C134" s="86" t="s">
        <v>4</v>
      </c>
      <c r="D134" s="22" t="s">
        <v>4</v>
      </c>
      <c r="E134" s="21">
        <v>0</v>
      </c>
      <c r="F134" s="22" t="s">
        <v>30</v>
      </c>
      <c r="G134" s="9" t="s">
        <v>4</v>
      </c>
      <c r="H134" s="10"/>
      <c r="I134" s="87"/>
      <c r="J134" s="7"/>
    </row>
    <row r="135" spans="1:10" ht="38.25" x14ac:dyDescent="0.2">
      <c r="A135" s="2"/>
      <c r="B135" s="40"/>
      <c r="C135" s="86" t="s">
        <v>4</v>
      </c>
      <c r="D135" s="22" t="s">
        <v>4</v>
      </c>
      <c r="E135" s="21">
        <v>1</v>
      </c>
      <c r="F135" s="22" t="s">
        <v>199</v>
      </c>
      <c r="G135" s="9" t="s">
        <v>4</v>
      </c>
      <c r="H135" s="10"/>
      <c r="I135" s="87"/>
      <c r="J135" s="7"/>
    </row>
    <row r="136" spans="1:10" ht="25.5" x14ac:dyDescent="0.2">
      <c r="A136" s="2"/>
      <c r="B136" s="40"/>
      <c r="C136" s="86" t="s">
        <v>4</v>
      </c>
      <c r="D136" s="22" t="s">
        <v>4</v>
      </c>
      <c r="E136" s="21">
        <v>2</v>
      </c>
      <c r="F136" s="22" t="s">
        <v>31</v>
      </c>
      <c r="G136" s="9" t="s">
        <v>4</v>
      </c>
      <c r="H136" s="10"/>
      <c r="I136" s="87"/>
      <c r="J136" s="7"/>
    </row>
    <row r="137" spans="1:10" ht="51" x14ac:dyDescent="0.2">
      <c r="A137" s="2"/>
      <c r="B137" s="40"/>
      <c r="C137" s="86" t="s">
        <v>4</v>
      </c>
      <c r="D137" s="22" t="s">
        <v>4</v>
      </c>
      <c r="E137" s="21">
        <v>3</v>
      </c>
      <c r="F137" s="22" t="s">
        <v>167</v>
      </c>
      <c r="G137" s="9" t="s">
        <v>4</v>
      </c>
      <c r="H137" s="10"/>
      <c r="I137" s="87"/>
      <c r="J137" s="7"/>
    </row>
    <row r="138" spans="1:10" ht="26.25" thickBot="1" x14ac:dyDescent="0.25">
      <c r="A138" s="2" t="s">
        <v>41</v>
      </c>
      <c r="B138" s="40" t="s">
        <v>42</v>
      </c>
      <c r="C138" s="93"/>
      <c r="D138" s="26"/>
      <c r="E138" s="25"/>
      <c r="F138" s="26"/>
      <c r="G138" s="12"/>
      <c r="H138" s="12"/>
      <c r="I138" s="94"/>
      <c r="J138" s="7"/>
    </row>
    <row r="139" spans="1:10" ht="25.5" x14ac:dyDescent="0.2">
      <c r="A139" s="2"/>
      <c r="B139" s="40"/>
      <c r="C139" s="91" t="s">
        <v>328</v>
      </c>
      <c r="D139" s="131" t="s">
        <v>43</v>
      </c>
      <c r="E139" s="92" t="s">
        <v>4</v>
      </c>
      <c r="F139" s="82" t="s">
        <v>4</v>
      </c>
      <c r="G139" s="83" t="s">
        <v>4</v>
      </c>
      <c r="H139" s="84">
        <v>4</v>
      </c>
      <c r="I139" s="85">
        <v>1.5</v>
      </c>
      <c r="J139" s="7"/>
    </row>
    <row r="140" spans="1:10" ht="19.5" customHeight="1" x14ac:dyDescent="0.2">
      <c r="A140" s="2"/>
      <c r="B140" s="40"/>
      <c r="C140" s="86" t="s">
        <v>323</v>
      </c>
      <c r="D140" s="121" t="s">
        <v>44</v>
      </c>
      <c r="E140" s="21" t="s">
        <v>4</v>
      </c>
      <c r="F140" s="22"/>
      <c r="G140" s="9" t="s">
        <v>4</v>
      </c>
      <c r="H140" s="10">
        <v>4</v>
      </c>
      <c r="I140" s="87">
        <v>1.5</v>
      </c>
      <c r="J140" s="7"/>
    </row>
    <row r="141" spans="1:10" ht="17.25" customHeight="1" x14ac:dyDescent="0.2">
      <c r="A141" s="2"/>
      <c r="B141" s="40"/>
      <c r="C141" s="86" t="s">
        <v>329</v>
      </c>
      <c r="D141" s="123" t="s">
        <v>45</v>
      </c>
      <c r="E141" s="21" t="s">
        <v>4</v>
      </c>
      <c r="F141" s="22" t="s">
        <v>4</v>
      </c>
      <c r="G141" s="9" t="s">
        <v>4</v>
      </c>
      <c r="H141" s="10">
        <v>4</v>
      </c>
      <c r="I141" s="87">
        <v>1</v>
      </c>
      <c r="J141" s="7"/>
    </row>
    <row r="142" spans="1:10" ht="25.5" x14ac:dyDescent="0.2">
      <c r="A142" s="2"/>
      <c r="B142" s="40"/>
      <c r="C142" s="88" t="s">
        <v>330</v>
      </c>
      <c r="D142" s="121" t="s">
        <v>231</v>
      </c>
      <c r="E142" s="21" t="s">
        <v>4</v>
      </c>
      <c r="F142" s="22" t="s">
        <v>4</v>
      </c>
      <c r="G142" s="9" t="s">
        <v>4</v>
      </c>
      <c r="H142" s="10">
        <v>4</v>
      </c>
      <c r="I142" s="87">
        <v>1</v>
      </c>
      <c r="J142" s="7"/>
    </row>
    <row r="143" spans="1:10" ht="16.5" customHeight="1" x14ac:dyDescent="0.2">
      <c r="A143" s="2"/>
      <c r="B143" s="40"/>
      <c r="C143" s="86" t="s">
        <v>324</v>
      </c>
      <c r="D143" s="142" t="s">
        <v>128</v>
      </c>
      <c r="E143" s="21" t="s">
        <v>4</v>
      </c>
      <c r="F143" s="22" t="s">
        <v>4</v>
      </c>
      <c r="G143" s="9" t="s">
        <v>4</v>
      </c>
      <c r="H143" s="10">
        <v>4</v>
      </c>
      <c r="I143" s="87">
        <v>1</v>
      </c>
      <c r="J143" s="7"/>
    </row>
    <row r="144" spans="1:10" ht="15.75" customHeight="1" x14ac:dyDescent="0.2">
      <c r="A144" s="2"/>
      <c r="B144" s="40"/>
      <c r="C144" s="86" t="s">
        <v>318</v>
      </c>
      <c r="D144" s="143" t="s">
        <v>46</v>
      </c>
      <c r="E144" s="21" t="s">
        <v>4</v>
      </c>
      <c r="F144" s="22" t="s">
        <v>4</v>
      </c>
      <c r="G144" s="9" t="s">
        <v>4</v>
      </c>
      <c r="H144" s="10">
        <v>4</v>
      </c>
      <c r="I144" s="87">
        <v>1</v>
      </c>
      <c r="J144" s="7"/>
    </row>
    <row r="145" spans="1:10" ht="26.25" thickBot="1" x14ac:dyDescent="0.25">
      <c r="A145" s="2"/>
      <c r="B145" s="40"/>
      <c r="C145" s="105" t="s">
        <v>352</v>
      </c>
      <c r="D145" s="145" t="s">
        <v>49</v>
      </c>
      <c r="E145" s="25" t="s">
        <v>4</v>
      </c>
      <c r="F145" s="26" t="s">
        <v>4</v>
      </c>
      <c r="G145" s="12" t="s">
        <v>4</v>
      </c>
      <c r="H145" s="13">
        <v>4</v>
      </c>
      <c r="I145" s="90">
        <v>1</v>
      </c>
      <c r="J145" s="7"/>
    </row>
    <row r="146" spans="1:10" ht="52.5" customHeight="1" x14ac:dyDescent="0.2">
      <c r="A146" s="2"/>
      <c r="B146" s="40"/>
      <c r="C146" s="91" t="s">
        <v>353</v>
      </c>
      <c r="D146" s="133" t="s">
        <v>129</v>
      </c>
      <c r="E146" s="92" t="s">
        <v>4</v>
      </c>
      <c r="F146" s="82" t="s">
        <v>4</v>
      </c>
      <c r="G146" s="83" t="s">
        <v>4</v>
      </c>
      <c r="H146" s="84">
        <v>4</v>
      </c>
      <c r="I146" s="85">
        <v>1</v>
      </c>
      <c r="J146" s="7"/>
    </row>
    <row r="147" spans="1:10" ht="25.5" x14ac:dyDescent="0.2">
      <c r="A147" s="2"/>
      <c r="B147" s="40"/>
      <c r="C147" s="86" t="s">
        <v>324</v>
      </c>
      <c r="D147" s="142" t="s">
        <v>111</v>
      </c>
      <c r="E147" s="21" t="s">
        <v>4</v>
      </c>
      <c r="F147" s="22" t="s">
        <v>47</v>
      </c>
      <c r="G147" s="9" t="s">
        <v>4</v>
      </c>
      <c r="H147" s="10">
        <v>4</v>
      </c>
      <c r="I147" s="87">
        <v>1</v>
      </c>
      <c r="J147" s="7"/>
    </row>
    <row r="148" spans="1:10" ht="38.25" x14ac:dyDescent="0.2">
      <c r="A148" s="2"/>
      <c r="B148" s="40"/>
      <c r="C148" s="86"/>
      <c r="D148" s="22"/>
      <c r="E148" s="21"/>
      <c r="F148" s="22" t="s">
        <v>271</v>
      </c>
      <c r="G148" s="9"/>
      <c r="H148" s="10"/>
      <c r="I148" s="87"/>
      <c r="J148" s="7"/>
    </row>
    <row r="149" spans="1:10" ht="25.5" x14ac:dyDescent="0.2">
      <c r="A149" s="2"/>
      <c r="B149" s="40"/>
      <c r="C149" s="86" t="s">
        <v>324</v>
      </c>
      <c r="D149" s="142" t="s">
        <v>116</v>
      </c>
      <c r="E149" s="21" t="s">
        <v>4</v>
      </c>
      <c r="F149" s="22" t="s">
        <v>4</v>
      </c>
      <c r="G149" s="9" t="s">
        <v>4</v>
      </c>
      <c r="H149" s="10">
        <v>4</v>
      </c>
      <c r="I149" s="87">
        <v>1</v>
      </c>
      <c r="J149" s="7"/>
    </row>
    <row r="150" spans="1:10" ht="38.25" x14ac:dyDescent="0.2">
      <c r="A150" s="2"/>
      <c r="B150" s="40"/>
      <c r="C150" s="86" t="s">
        <v>324</v>
      </c>
      <c r="D150" s="142" t="s">
        <v>112</v>
      </c>
      <c r="E150" s="21" t="s">
        <v>4</v>
      </c>
      <c r="F150" s="22" t="s">
        <v>114</v>
      </c>
      <c r="G150" s="9" t="s">
        <v>4</v>
      </c>
      <c r="H150" s="10">
        <v>4</v>
      </c>
      <c r="I150" s="87">
        <v>1</v>
      </c>
      <c r="J150" s="7"/>
    </row>
    <row r="151" spans="1:10" ht="38.25" x14ac:dyDescent="0.2">
      <c r="A151" s="2"/>
      <c r="B151" s="40"/>
      <c r="C151" s="86" t="s">
        <v>4</v>
      </c>
      <c r="D151" s="22" t="s">
        <v>4</v>
      </c>
      <c r="E151" s="21" t="s">
        <v>4</v>
      </c>
      <c r="F151" s="22" t="s">
        <v>48</v>
      </c>
      <c r="G151" s="9" t="s">
        <v>4</v>
      </c>
      <c r="H151" s="10"/>
      <c r="I151" s="87"/>
      <c r="J151" s="7"/>
    </row>
    <row r="152" spans="1:10" ht="51.75" thickBot="1" x14ac:dyDescent="0.25">
      <c r="A152" s="2"/>
      <c r="B152" s="40"/>
      <c r="C152" s="89" t="s">
        <v>4</v>
      </c>
      <c r="D152" s="26" t="s">
        <v>4</v>
      </c>
      <c r="E152" s="25" t="s">
        <v>4</v>
      </c>
      <c r="F152" s="26" t="s">
        <v>113</v>
      </c>
      <c r="G152" s="12" t="s">
        <v>4</v>
      </c>
      <c r="H152" s="13"/>
      <c r="I152" s="90"/>
      <c r="J152" s="7"/>
    </row>
    <row r="153" spans="1:10" ht="17.25" customHeight="1" x14ac:dyDescent="0.2">
      <c r="A153" s="2"/>
      <c r="B153" s="40"/>
      <c r="C153" s="103" t="s">
        <v>329</v>
      </c>
      <c r="D153" s="131" t="s">
        <v>57</v>
      </c>
      <c r="E153" s="92" t="s">
        <v>4</v>
      </c>
      <c r="F153" s="82" t="s">
        <v>4</v>
      </c>
      <c r="G153" s="83" t="s">
        <v>4</v>
      </c>
      <c r="H153" s="84">
        <v>4</v>
      </c>
      <c r="I153" s="85">
        <v>2</v>
      </c>
      <c r="J153" s="7"/>
    </row>
    <row r="154" spans="1:10" x14ac:dyDescent="0.2">
      <c r="A154" s="2"/>
      <c r="B154" s="40"/>
      <c r="C154" s="86" t="s">
        <v>4</v>
      </c>
      <c r="D154" s="22" t="s">
        <v>4</v>
      </c>
      <c r="E154" s="21">
        <v>0</v>
      </c>
      <c r="F154" s="22" t="s">
        <v>58</v>
      </c>
      <c r="G154" s="9" t="s">
        <v>4</v>
      </c>
      <c r="H154" s="10"/>
      <c r="I154" s="87"/>
      <c r="J154" s="7"/>
    </row>
    <row r="155" spans="1:10" x14ac:dyDescent="0.2">
      <c r="A155" s="2"/>
      <c r="B155" s="40"/>
      <c r="C155" s="86" t="s">
        <v>4</v>
      </c>
      <c r="D155" s="22" t="s">
        <v>4</v>
      </c>
      <c r="E155" s="21">
        <v>1</v>
      </c>
      <c r="F155" s="22" t="s">
        <v>59</v>
      </c>
      <c r="G155" s="9" t="s">
        <v>4</v>
      </c>
      <c r="H155" s="10"/>
      <c r="I155" s="87"/>
      <c r="J155" s="7"/>
    </row>
    <row r="156" spans="1:10" ht="25.5" x14ac:dyDescent="0.2">
      <c r="A156" s="2"/>
      <c r="B156" s="40"/>
      <c r="C156" s="86" t="s">
        <v>4</v>
      </c>
      <c r="D156" s="22" t="s">
        <v>4</v>
      </c>
      <c r="E156" s="21">
        <v>2</v>
      </c>
      <c r="F156" s="22" t="s">
        <v>60</v>
      </c>
      <c r="G156" s="9" t="s">
        <v>4</v>
      </c>
      <c r="H156" s="10"/>
      <c r="I156" s="87"/>
      <c r="J156" s="7"/>
    </row>
    <row r="157" spans="1:10" x14ac:dyDescent="0.2">
      <c r="A157" s="2"/>
      <c r="B157" s="40"/>
      <c r="C157" s="86" t="s">
        <v>4</v>
      </c>
      <c r="D157" s="22" t="s">
        <v>4</v>
      </c>
      <c r="E157" s="21">
        <v>3</v>
      </c>
      <c r="F157" s="22" t="s">
        <v>61</v>
      </c>
      <c r="G157" s="9" t="s">
        <v>4</v>
      </c>
      <c r="H157" s="10"/>
      <c r="I157" s="87"/>
      <c r="J157" s="7"/>
    </row>
    <row r="158" spans="1:10" ht="25.5" x14ac:dyDescent="0.2">
      <c r="A158" s="2"/>
      <c r="B158" s="40"/>
      <c r="C158" s="86" t="s">
        <v>329</v>
      </c>
      <c r="D158" s="123" t="s">
        <v>125</v>
      </c>
      <c r="E158" s="21" t="s">
        <v>4</v>
      </c>
      <c r="F158" s="22" t="s">
        <v>4</v>
      </c>
      <c r="G158" s="9" t="s">
        <v>4</v>
      </c>
      <c r="H158" s="10">
        <v>4</v>
      </c>
      <c r="I158" s="87">
        <v>1</v>
      </c>
      <c r="J158" s="7"/>
    </row>
    <row r="159" spans="1:10" ht="25.5" x14ac:dyDescent="0.2">
      <c r="A159" s="2"/>
      <c r="B159" s="40"/>
      <c r="C159" s="86" t="s">
        <v>4</v>
      </c>
      <c r="D159" s="22" t="s">
        <v>4</v>
      </c>
      <c r="E159" s="21">
        <v>0</v>
      </c>
      <c r="F159" s="22" t="s">
        <v>183</v>
      </c>
      <c r="G159" s="9" t="s">
        <v>4</v>
      </c>
      <c r="H159" s="10"/>
      <c r="I159" s="87"/>
      <c r="J159" s="7"/>
    </row>
    <row r="160" spans="1:10" ht="25.5" x14ac:dyDescent="0.2">
      <c r="A160" s="2"/>
      <c r="B160" s="40"/>
      <c r="C160" s="86" t="s">
        <v>4</v>
      </c>
      <c r="D160" s="22" t="s">
        <v>4</v>
      </c>
      <c r="E160" s="21">
        <v>1</v>
      </c>
      <c r="F160" s="22" t="s">
        <v>184</v>
      </c>
      <c r="G160" s="9" t="s">
        <v>4</v>
      </c>
      <c r="H160" s="10"/>
      <c r="I160" s="87"/>
      <c r="J160" s="7"/>
    </row>
    <row r="161" spans="1:10" ht="25.5" x14ac:dyDescent="0.2">
      <c r="A161" s="2"/>
      <c r="B161" s="40"/>
      <c r="C161" s="86" t="s">
        <v>4</v>
      </c>
      <c r="D161" s="22" t="s">
        <v>4</v>
      </c>
      <c r="E161" s="21">
        <v>2</v>
      </c>
      <c r="F161" s="22" t="s">
        <v>52</v>
      </c>
      <c r="G161" s="9" t="s">
        <v>4</v>
      </c>
      <c r="H161" s="10"/>
      <c r="I161" s="87"/>
      <c r="J161" s="7"/>
    </row>
    <row r="162" spans="1:10" ht="26.25" thickBot="1" x14ac:dyDescent="0.25">
      <c r="A162" s="2"/>
      <c r="B162" s="40"/>
      <c r="C162" s="89" t="s">
        <v>4</v>
      </c>
      <c r="D162" s="26" t="s">
        <v>4</v>
      </c>
      <c r="E162" s="25">
        <v>3</v>
      </c>
      <c r="F162" s="26" t="s">
        <v>53</v>
      </c>
      <c r="G162" s="12" t="s">
        <v>4</v>
      </c>
      <c r="H162" s="13"/>
      <c r="I162" s="90"/>
      <c r="J162" s="7"/>
    </row>
    <row r="163" spans="1:10" ht="25.5" x14ac:dyDescent="0.2">
      <c r="A163" s="2"/>
      <c r="B163" s="40"/>
      <c r="C163" s="91" t="s">
        <v>354</v>
      </c>
      <c r="D163" s="119" t="s">
        <v>127</v>
      </c>
      <c r="E163" s="92" t="s">
        <v>4</v>
      </c>
      <c r="F163" s="82" t="s">
        <v>4</v>
      </c>
      <c r="G163" s="83" t="s">
        <v>4</v>
      </c>
      <c r="H163" s="84">
        <v>4</v>
      </c>
      <c r="I163" s="85">
        <v>1.5</v>
      </c>
      <c r="J163" s="7"/>
    </row>
    <row r="164" spans="1:10" ht="38.25" x14ac:dyDescent="0.2">
      <c r="A164" s="2"/>
      <c r="B164" s="40"/>
      <c r="C164" s="86" t="s">
        <v>4</v>
      </c>
      <c r="D164" s="22" t="s">
        <v>4</v>
      </c>
      <c r="E164" s="21">
        <v>0</v>
      </c>
      <c r="F164" s="22" t="s">
        <v>163</v>
      </c>
      <c r="G164" s="9" t="s">
        <v>4</v>
      </c>
      <c r="H164" s="10"/>
      <c r="I164" s="87"/>
      <c r="J164" s="7"/>
    </row>
    <row r="165" spans="1:10" ht="25.5" x14ac:dyDescent="0.2">
      <c r="A165" s="2"/>
      <c r="B165" s="40"/>
      <c r="C165" s="86" t="s">
        <v>4</v>
      </c>
      <c r="D165" s="22" t="s">
        <v>4</v>
      </c>
      <c r="E165" s="21">
        <v>1</v>
      </c>
      <c r="F165" s="22" t="s">
        <v>165</v>
      </c>
      <c r="G165" s="9" t="s">
        <v>4</v>
      </c>
      <c r="H165" s="10"/>
      <c r="I165" s="87"/>
      <c r="J165" s="7"/>
    </row>
    <row r="166" spans="1:10" ht="38.25" x14ac:dyDescent="0.2">
      <c r="A166" s="2"/>
      <c r="B166" s="40"/>
      <c r="C166" s="86" t="s">
        <v>4</v>
      </c>
      <c r="D166" s="22" t="s">
        <v>4</v>
      </c>
      <c r="E166" s="21">
        <v>2</v>
      </c>
      <c r="F166" s="22" t="s">
        <v>166</v>
      </c>
      <c r="G166" s="9" t="s">
        <v>4</v>
      </c>
      <c r="H166" s="10"/>
      <c r="I166" s="87"/>
      <c r="J166" s="7"/>
    </row>
    <row r="167" spans="1:10" ht="38.25" x14ac:dyDescent="0.2">
      <c r="A167" s="2"/>
      <c r="B167" s="40"/>
      <c r="C167" s="86" t="s">
        <v>4</v>
      </c>
      <c r="D167" s="22" t="s">
        <v>4</v>
      </c>
      <c r="E167" s="21">
        <v>3</v>
      </c>
      <c r="F167" s="22" t="s">
        <v>164</v>
      </c>
      <c r="G167" s="9" t="s">
        <v>4</v>
      </c>
      <c r="H167" s="10"/>
      <c r="I167" s="87"/>
      <c r="J167" s="7"/>
    </row>
    <row r="168" spans="1:10" ht="18.75" customHeight="1" x14ac:dyDescent="0.2">
      <c r="A168" s="2"/>
      <c r="B168" s="40"/>
      <c r="C168" s="86" t="s">
        <v>323</v>
      </c>
      <c r="D168" s="121" t="s">
        <v>101</v>
      </c>
      <c r="E168" s="21" t="s">
        <v>4</v>
      </c>
      <c r="F168" s="22" t="s">
        <v>4</v>
      </c>
      <c r="G168" s="9" t="s">
        <v>4</v>
      </c>
      <c r="H168" s="10">
        <v>4</v>
      </c>
      <c r="I168" s="87">
        <v>1</v>
      </c>
      <c r="J168" s="7"/>
    </row>
    <row r="169" spans="1:10" ht="25.5" x14ac:dyDescent="0.2">
      <c r="A169" s="2"/>
      <c r="B169" s="40"/>
      <c r="C169" s="86" t="s">
        <v>4</v>
      </c>
      <c r="D169" s="22" t="s">
        <v>4</v>
      </c>
      <c r="E169" s="21">
        <v>0</v>
      </c>
      <c r="F169" s="22" t="s">
        <v>169</v>
      </c>
      <c r="G169" s="9" t="s">
        <v>4</v>
      </c>
      <c r="H169" s="10"/>
      <c r="I169" s="87"/>
      <c r="J169" s="7"/>
    </row>
    <row r="170" spans="1:10" ht="25.5" x14ac:dyDescent="0.2">
      <c r="A170" s="2"/>
      <c r="B170" s="40"/>
      <c r="C170" s="86" t="s">
        <v>4</v>
      </c>
      <c r="D170" s="22" t="s">
        <v>4</v>
      </c>
      <c r="E170" s="21">
        <v>1</v>
      </c>
      <c r="F170" s="17" t="s">
        <v>149</v>
      </c>
      <c r="G170" s="9" t="s">
        <v>4</v>
      </c>
      <c r="H170" s="10"/>
      <c r="I170" s="87"/>
      <c r="J170" s="7"/>
    </row>
    <row r="171" spans="1:10" ht="25.5" x14ac:dyDescent="0.2">
      <c r="A171" s="2"/>
      <c r="B171" s="40"/>
      <c r="C171" s="86" t="s">
        <v>4</v>
      </c>
      <c r="D171" s="22" t="s">
        <v>4</v>
      </c>
      <c r="E171" s="21">
        <v>2</v>
      </c>
      <c r="F171" s="17" t="s">
        <v>118</v>
      </c>
      <c r="G171" s="9" t="s">
        <v>4</v>
      </c>
      <c r="H171" s="10"/>
      <c r="I171" s="87"/>
      <c r="J171" s="7"/>
    </row>
    <row r="172" spans="1:10" ht="25.5" x14ac:dyDescent="0.2">
      <c r="A172" s="2"/>
      <c r="B172" s="40"/>
      <c r="C172" s="86" t="s">
        <v>4</v>
      </c>
      <c r="D172" s="22" t="s">
        <v>4</v>
      </c>
      <c r="E172" s="21">
        <v>3</v>
      </c>
      <c r="F172" s="17" t="s">
        <v>117</v>
      </c>
      <c r="G172" s="9" t="s">
        <v>4</v>
      </c>
      <c r="H172" s="10"/>
      <c r="I172" s="87"/>
      <c r="J172" s="7"/>
    </row>
    <row r="173" spans="1:10" ht="16.5" customHeight="1" x14ac:dyDescent="0.2">
      <c r="A173" s="2"/>
      <c r="B173" s="40"/>
      <c r="C173" s="86" t="s">
        <v>323</v>
      </c>
      <c r="D173" s="121" t="s">
        <v>103</v>
      </c>
      <c r="E173" s="21" t="s">
        <v>4</v>
      </c>
      <c r="F173" s="22" t="s">
        <v>4</v>
      </c>
      <c r="G173" s="9" t="s">
        <v>4</v>
      </c>
      <c r="H173" s="10">
        <v>4</v>
      </c>
      <c r="I173" s="87">
        <v>1</v>
      </c>
      <c r="J173" s="7"/>
    </row>
    <row r="174" spans="1:10" ht="25.5" x14ac:dyDescent="0.2">
      <c r="A174" s="2"/>
      <c r="B174" s="40"/>
      <c r="C174" s="86" t="s">
        <v>4</v>
      </c>
      <c r="D174" s="22" t="s">
        <v>4</v>
      </c>
      <c r="E174" s="21">
        <v>0</v>
      </c>
      <c r="F174" s="22" t="s">
        <v>168</v>
      </c>
      <c r="G174" s="9" t="s">
        <v>4</v>
      </c>
      <c r="H174" s="10"/>
      <c r="I174" s="87"/>
      <c r="J174" s="7"/>
    </row>
    <row r="175" spans="1:10" ht="25.5" x14ac:dyDescent="0.2">
      <c r="A175" s="2"/>
      <c r="B175" s="40"/>
      <c r="C175" s="86" t="s">
        <v>4</v>
      </c>
      <c r="D175" s="22" t="s">
        <v>4</v>
      </c>
      <c r="E175" s="21">
        <v>1</v>
      </c>
      <c r="F175" s="22" t="s">
        <v>173</v>
      </c>
      <c r="G175" s="9" t="s">
        <v>4</v>
      </c>
      <c r="H175" s="10"/>
      <c r="I175" s="87"/>
      <c r="J175" s="7"/>
    </row>
    <row r="176" spans="1:10" ht="25.5" x14ac:dyDescent="0.2">
      <c r="A176" s="2"/>
      <c r="B176" s="40"/>
      <c r="C176" s="86" t="s">
        <v>4</v>
      </c>
      <c r="D176" s="22" t="s">
        <v>4</v>
      </c>
      <c r="E176" s="21">
        <v>2</v>
      </c>
      <c r="F176" s="22" t="s">
        <v>174</v>
      </c>
      <c r="G176" s="9" t="s">
        <v>4</v>
      </c>
      <c r="H176" s="10"/>
      <c r="I176" s="87"/>
      <c r="J176" s="7"/>
    </row>
    <row r="177" spans="1:10" ht="51" x14ac:dyDescent="0.2">
      <c r="A177" s="2"/>
      <c r="B177" s="40"/>
      <c r="C177" s="86" t="s">
        <v>4</v>
      </c>
      <c r="D177" s="22" t="s">
        <v>4</v>
      </c>
      <c r="E177" s="21">
        <v>3</v>
      </c>
      <c r="F177" s="22" t="s">
        <v>119</v>
      </c>
      <c r="G177" s="9" t="s">
        <v>4</v>
      </c>
      <c r="H177" s="10"/>
      <c r="I177" s="87"/>
      <c r="J177" s="7"/>
    </row>
    <row r="178" spans="1:10" x14ac:dyDescent="0.2">
      <c r="A178" s="2"/>
      <c r="B178" s="40"/>
      <c r="C178" s="86" t="s">
        <v>323</v>
      </c>
      <c r="D178" s="121" t="s">
        <v>102</v>
      </c>
      <c r="E178" s="21" t="s">
        <v>4</v>
      </c>
      <c r="F178" s="22" t="s">
        <v>4</v>
      </c>
      <c r="G178" s="9" t="s">
        <v>4</v>
      </c>
      <c r="H178" s="10">
        <v>4</v>
      </c>
      <c r="I178" s="87">
        <v>2</v>
      </c>
      <c r="J178" s="7"/>
    </row>
    <row r="179" spans="1:10" x14ac:dyDescent="0.2">
      <c r="A179" s="2"/>
      <c r="B179" s="40"/>
      <c r="C179" s="86" t="s">
        <v>4</v>
      </c>
      <c r="D179" s="22" t="s">
        <v>4</v>
      </c>
      <c r="E179" s="21">
        <v>0</v>
      </c>
      <c r="F179" s="22" t="s">
        <v>130</v>
      </c>
      <c r="G179" s="9" t="s">
        <v>4</v>
      </c>
      <c r="H179" s="10"/>
      <c r="I179" s="87"/>
      <c r="J179" s="7"/>
    </row>
    <row r="180" spans="1:10" x14ac:dyDescent="0.2">
      <c r="A180" s="2"/>
      <c r="B180" s="40"/>
      <c r="C180" s="86" t="s">
        <v>4</v>
      </c>
      <c r="D180" s="22" t="s">
        <v>4</v>
      </c>
      <c r="E180" s="21">
        <v>1</v>
      </c>
      <c r="F180" s="22" t="s">
        <v>54</v>
      </c>
      <c r="G180" s="9" t="s">
        <v>4</v>
      </c>
      <c r="H180" s="10"/>
      <c r="I180" s="87"/>
      <c r="J180" s="7"/>
    </row>
    <row r="181" spans="1:10" x14ac:dyDescent="0.2">
      <c r="A181" s="2"/>
      <c r="B181" s="40"/>
      <c r="C181" s="86" t="s">
        <v>4</v>
      </c>
      <c r="D181" s="22" t="s">
        <v>4</v>
      </c>
      <c r="E181" s="21">
        <v>2</v>
      </c>
      <c r="F181" s="22" t="s">
        <v>55</v>
      </c>
      <c r="G181" s="9" t="s">
        <v>4</v>
      </c>
      <c r="H181" s="10"/>
      <c r="I181" s="87"/>
      <c r="J181" s="7"/>
    </row>
    <row r="182" spans="1:10" x14ac:dyDescent="0.2">
      <c r="A182" s="2"/>
      <c r="B182" s="40"/>
      <c r="C182" s="86" t="s">
        <v>4</v>
      </c>
      <c r="D182" s="22" t="s">
        <v>4</v>
      </c>
      <c r="E182" s="21">
        <v>3</v>
      </c>
      <c r="F182" s="22" t="s">
        <v>56</v>
      </c>
      <c r="G182" s="9" t="s">
        <v>4</v>
      </c>
      <c r="H182" s="10"/>
      <c r="I182" s="87"/>
      <c r="J182" s="7"/>
    </row>
    <row r="183" spans="1:10" x14ac:dyDescent="0.2">
      <c r="A183" s="2"/>
      <c r="B183" s="40"/>
      <c r="C183" s="86" t="s">
        <v>324</v>
      </c>
      <c r="D183" s="142" t="s">
        <v>131</v>
      </c>
      <c r="E183" s="21" t="s">
        <v>4</v>
      </c>
      <c r="F183" s="22" t="s">
        <v>4</v>
      </c>
      <c r="G183" s="9" t="s">
        <v>4</v>
      </c>
      <c r="H183" s="10">
        <v>4</v>
      </c>
      <c r="I183" s="87">
        <v>1.5</v>
      </c>
      <c r="J183" s="7"/>
    </row>
    <row r="184" spans="1:10" ht="25.5" x14ac:dyDescent="0.2">
      <c r="A184" s="2"/>
      <c r="B184" s="40"/>
      <c r="C184" s="86" t="s">
        <v>4</v>
      </c>
      <c r="D184" s="22" t="s">
        <v>4</v>
      </c>
      <c r="E184" s="21">
        <v>0</v>
      </c>
      <c r="F184" s="22" t="s">
        <v>132</v>
      </c>
      <c r="G184" s="9" t="s">
        <v>4</v>
      </c>
      <c r="H184" s="10"/>
      <c r="I184" s="87"/>
      <c r="J184" s="7"/>
    </row>
    <row r="185" spans="1:10" ht="25.5" x14ac:dyDescent="0.2">
      <c r="A185" s="2"/>
      <c r="B185" s="40"/>
      <c r="C185" s="86" t="s">
        <v>4</v>
      </c>
      <c r="D185" s="22" t="s">
        <v>4</v>
      </c>
      <c r="E185" s="21">
        <v>1</v>
      </c>
      <c r="F185" s="22" t="s">
        <v>133</v>
      </c>
      <c r="G185" s="9" t="s">
        <v>4</v>
      </c>
      <c r="H185" s="10"/>
      <c r="I185" s="87"/>
      <c r="J185" s="7"/>
    </row>
    <row r="186" spans="1:10" ht="25.5" x14ac:dyDescent="0.2">
      <c r="A186" s="2"/>
      <c r="B186" s="40"/>
      <c r="C186" s="86" t="s">
        <v>4</v>
      </c>
      <c r="D186" s="22" t="s">
        <v>4</v>
      </c>
      <c r="E186" s="21">
        <v>2</v>
      </c>
      <c r="F186" s="22" t="s">
        <v>134</v>
      </c>
      <c r="G186" s="9" t="s">
        <v>4</v>
      </c>
      <c r="H186" s="10"/>
      <c r="I186" s="87"/>
      <c r="J186" s="7"/>
    </row>
    <row r="187" spans="1:10" ht="25.5" x14ac:dyDescent="0.2">
      <c r="A187" s="2"/>
      <c r="B187" s="40"/>
      <c r="C187" s="86" t="s">
        <v>4</v>
      </c>
      <c r="D187" s="22" t="s">
        <v>4</v>
      </c>
      <c r="E187" s="21">
        <v>3</v>
      </c>
      <c r="F187" s="22" t="s">
        <v>135</v>
      </c>
      <c r="G187" s="9" t="s">
        <v>4</v>
      </c>
      <c r="H187" s="10"/>
      <c r="I187" s="87"/>
      <c r="J187" s="7"/>
    </row>
    <row r="188" spans="1:10" x14ac:dyDescent="0.2">
      <c r="A188" s="2"/>
      <c r="B188" s="40"/>
      <c r="C188" s="86" t="s">
        <v>318</v>
      </c>
      <c r="D188" s="122" t="s">
        <v>120</v>
      </c>
      <c r="E188" s="21" t="s">
        <v>4</v>
      </c>
      <c r="F188" s="22" t="s">
        <v>4</v>
      </c>
      <c r="G188" s="9" t="s">
        <v>4</v>
      </c>
      <c r="H188" s="10">
        <v>4</v>
      </c>
      <c r="I188" s="87">
        <v>1</v>
      </c>
      <c r="J188" s="7"/>
    </row>
    <row r="189" spans="1:10" ht="38.25" x14ac:dyDescent="0.2">
      <c r="A189" s="2"/>
      <c r="B189" s="40"/>
      <c r="C189" s="86" t="s">
        <v>4</v>
      </c>
      <c r="D189" s="22" t="s">
        <v>4</v>
      </c>
      <c r="E189" s="21">
        <v>0</v>
      </c>
      <c r="F189" s="22" t="s">
        <v>62</v>
      </c>
      <c r="G189" s="9" t="s">
        <v>4</v>
      </c>
      <c r="H189" s="10"/>
      <c r="I189" s="87"/>
      <c r="J189" s="7"/>
    </row>
    <row r="190" spans="1:10" ht="38.25" x14ac:dyDescent="0.2">
      <c r="A190" s="2"/>
      <c r="B190" s="40"/>
      <c r="C190" s="86" t="s">
        <v>4</v>
      </c>
      <c r="D190" s="22" t="s">
        <v>4</v>
      </c>
      <c r="E190" s="21">
        <v>1</v>
      </c>
      <c r="F190" s="22" t="s">
        <v>233</v>
      </c>
      <c r="G190" s="9" t="s">
        <v>4</v>
      </c>
      <c r="H190" s="10"/>
      <c r="I190" s="87"/>
      <c r="J190" s="7"/>
    </row>
    <row r="191" spans="1:10" ht="25.5" x14ac:dyDescent="0.2">
      <c r="A191" s="2"/>
      <c r="B191" s="40"/>
      <c r="C191" s="86" t="s">
        <v>4</v>
      </c>
      <c r="D191" s="22" t="s">
        <v>4</v>
      </c>
      <c r="E191" s="21">
        <v>2</v>
      </c>
      <c r="F191" s="22" t="s">
        <v>232</v>
      </c>
      <c r="G191" s="9" t="s">
        <v>4</v>
      </c>
      <c r="H191" s="10"/>
      <c r="I191" s="87"/>
      <c r="J191" s="7"/>
    </row>
    <row r="192" spans="1:10" ht="38.25" x14ac:dyDescent="0.2">
      <c r="A192" s="2"/>
      <c r="B192" s="40"/>
      <c r="C192" s="86" t="s">
        <v>4</v>
      </c>
      <c r="D192" s="22" t="s">
        <v>4</v>
      </c>
      <c r="E192" s="21">
        <v>3</v>
      </c>
      <c r="F192" s="22" t="s">
        <v>170</v>
      </c>
      <c r="G192" s="9" t="s">
        <v>4</v>
      </c>
      <c r="H192" s="10"/>
      <c r="I192" s="87"/>
      <c r="J192" s="7"/>
    </row>
    <row r="193" spans="1:10" ht="25.5" x14ac:dyDescent="0.2">
      <c r="A193" s="2"/>
      <c r="B193" s="40"/>
      <c r="C193" s="88" t="s">
        <v>352</v>
      </c>
      <c r="D193" s="121" t="s">
        <v>65</v>
      </c>
      <c r="E193" s="21" t="s">
        <v>4</v>
      </c>
      <c r="F193" s="22" t="s">
        <v>4</v>
      </c>
      <c r="G193" s="9" t="s">
        <v>4</v>
      </c>
      <c r="H193" s="10">
        <v>4</v>
      </c>
      <c r="I193" s="87">
        <v>1</v>
      </c>
      <c r="J193" s="7"/>
    </row>
    <row r="194" spans="1:10" ht="38.25" x14ac:dyDescent="0.2">
      <c r="A194" s="2"/>
      <c r="B194" s="40"/>
      <c r="C194" s="86" t="s">
        <v>4</v>
      </c>
      <c r="D194" s="22" t="s">
        <v>4</v>
      </c>
      <c r="E194" s="21">
        <v>0</v>
      </c>
      <c r="F194" s="22" t="s">
        <v>172</v>
      </c>
      <c r="G194" s="9" t="s">
        <v>4</v>
      </c>
      <c r="H194" s="10"/>
      <c r="I194" s="87"/>
      <c r="J194" s="7"/>
    </row>
    <row r="195" spans="1:10" ht="25.5" x14ac:dyDescent="0.2">
      <c r="A195" s="2"/>
      <c r="B195" s="40"/>
      <c r="C195" s="86" t="s">
        <v>4</v>
      </c>
      <c r="D195" s="22" t="s">
        <v>4</v>
      </c>
      <c r="E195" s="21">
        <v>1</v>
      </c>
      <c r="F195" s="22" t="s">
        <v>149</v>
      </c>
      <c r="G195" s="9" t="s">
        <v>4</v>
      </c>
      <c r="H195" s="10"/>
      <c r="I195" s="87"/>
      <c r="J195" s="7"/>
    </row>
    <row r="196" spans="1:10" ht="25.5" x14ac:dyDescent="0.2">
      <c r="A196" s="2"/>
      <c r="B196" s="40"/>
      <c r="C196" s="86" t="s">
        <v>4</v>
      </c>
      <c r="D196" s="22" t="s">
        <v>4</v>
      </c>
      <c r="E196" s="21">
        <v>2</v>
      </c>
      <c r="F196" s="22" t="s">
        <v>175</v>
      </c>
      <c r="G196" s="9" t="s">
        <v>4</v>
      </c>
      <c r="H196" s="10"/>
      <c r="I196" s="87"/>
      <c r="J196" s="7"/>
    </row>
    <row r="197" spans="1:10" ht="51.75" thickBot="1" x14ac:dyDescent="0.25">
      <c r="A197" s="2"/>
      <c r="B197" s="40"/>
      <c r="C197" s="89" t="s">
        <v>4</v>
      </c>
      <c r="D197" s="26" t="s">
        <v>4</v>
      </c>
      <c r="E197" s="25">
        <v>3</v>
      </c>
      <c r="F197" s="26" t="s">
        <v>136</v>
      </c>
      <c r="G197" s="12" t="s">
        <v>4</v>
      </c>
      <c r="H197" s="13"/>
      <c r="I197" s="90"/>
      <c r="J197" s="7"/>
    </row>
    <row r="198" spans="1:10" ht="49.5" x14ac:dyDescent="0.2">
      <c r="A198" s="2"/>
      <c r="B198" s="40"/>
      <c r="C198" s="91" t="s">
        <v>355</v>
      </c>
      <c r="D198" s="135" t="s">
        <v>63</v>
      </c>
      <c r="E198" s="92" t="s">
        <v>4</v>
      </c>
      <c r="F198" s="82" t="s">
        <v>4</v>
      </c>
      <c r="G198" s="83" t="s">
        <v>4</v>
      </c>
      <c r="H198" s="84">
        <v>4</v>
      </c>
      <c r="I198" s="85">
        <v>1</v>
      </c>
      <c r="J198" s="7"/>
    </row>
    <row r="199" spans="1:10" x14ac:dyDescent="0.2">
      <c r="A199" s="2"/>
      <c r="B199" s="40"/>
      <c r="C199" s="86" t="s">
        <v>4</v>
      </c>
      <c r="D199" s="22" t="s">
        <v>4</v>
      </c>
      <c r="E199" s="21">
        <v>0</v>
      </c>
      <c r="F199" s="22" t="s">
        <v>64</v>
      </c>
      <c r="G199" s="9" t="s">
        <v>4</v>
      </c>
      <c r="H199" s="10"/>
      <c r="I199" s="87"/>
      <c r="J199" s="7"/>
    </row>
    <row r="200" spans="1:10" ht="38.25" x14ac:dyDescent="0.2">
      <c r="A200" s="2"/>
      <c r="B200" s="40"/>
      <c r="C200" s="86" t="s">
        <v>4</v>
      </c>
      <c r="D200" s="22" t="s">
        <v>4</v>
      </c>
      <c r="E200" s="21">
        <v>1</v>
      </c>
      <c r="F200" s="22" t="s">
        <v>185</v>
      </c>
      <c r="G200" s="9" t="s">
        <v>4</v>
      </c>
      <c r="H200" s="10"/>
      <c r="I200" s="87"/>
      <c r="J200" s="7"/>
    </row>
    <row r="201" spans="1:10" ht="38.25" x14ac:dyDescent="0.2">
      <c r="A201" s="2"/>
      <c r="B201" s="40"/>
      <c r="C201" s="86" t="s">
        <v>4</v>
      </c>
      <c r="D201" s="22" t="s">
        <v>4</v>
      </c>
      <c r="E201" s="21">
        <v>2</v>
      </c>
      <c r="F201" s="22" t="s">
        <v>186</v>
      </c>
      <c r="G201" s="9" t="s">
        <v>4</v>
      </c>
      <c r="H201" s="10"/>
      <c r="I201" s="87"/>
      <c r="J201" s="7"/>
    </row>
    <row r="202" spans="1:10" ht="51.75" thickBot="1" x14ac:dyDescent="0.25">
      <c r="A202" s="2"/>
      <c r="B202" s="40"/>
      <c r="C202" s="89" t="s">
        <v>4</v>
      </c>
      <c r="D202" s="26" t="s">
        <v>4</v>
      </c>
      <c r="E202" s="25">
        <v>3</v>
      </c>
      <c r="F202" s="26" t="s">
        <v>187</v>
      </c>
      <c r="G202" s="12" t="s">
        <v>4</v>
      </c>
      <c r="H202" s="13"/>
      <c r="I202" s="90"/>
      <c r="J202" s="7"/>
    </row>
    <row r="203" spans="1:10" ht="18" customHeight="1" x14ac:dyDescent="0.2">
      <c r="A203" s="2"/>
      <c r="B203" s="40"/>
      <c r="C203" s="103" t="s">
        <v>331</v>
      </c>
      <c r="D203" s="106" t="s">
        <v>50</v>
      </c>
      <c r="E203" s="92" t="s">
        <v>4</v>
      </c>
      <c r="F203" s="82" t="s">
        <v>4</v>
      </c>
      <c r="G203" s="83" t="s">
        <v>4</v>
      </c>
      <c r="H203" s="84">
        <v>4</v>
      </c>
      <c r="I203" s="85">
        <v>1</v>
      </c>
      <c r="J203" s="7"/>
    </row>
    <row r="204" spans="1:10" ht="25.5" x14ac:dyDescent="0.2">
      <c r="A204" s="2"/>
      <c r="B204" s="40"/>
      <c r="C204" s="86" t="s">
        <v>4</v>
      </c>
      <c r="D204" s="22" t="s">
        <v>4</v>
      </c>
      <c r="E204" s="21">
        <v>0</v>
      </c>
      <c r="F204" s="22" t="s">
        <v>189</v>
      </c>
      <c r="G204" s="9" t="s">
        <v>4</v>
      </c>
      <c r="H204" s="10"/>
      <c r="I204" s="87"/>
      <c r="J204" s="7"/>
    </row>
    <row r="205" spans="1:10" ht="38.25" x14ac:dyDescent="0.2">
      <c r="A205" s="2"/>
      <c r="B205" s="40"/>
      <c r="C205" s="86" t="s">
        <v>4</v>
      </c>
      <c r="D205" s="22" t="s">
        <v>4</v>
      </c>
      <c r="E205" s="21">
        <v>1</v>
      </c>
      <c r="F205" s="22" t="s">
        <v>51</v>
      </c>
      <c r="G205" s="9" t="s">
        <v>4</v>
      </c>
      <c r="H205" s="10"/>
      <c r="I205" s="87"/>
      <c r="J205" s="7"/>
    </row>
    <row r="206" spans="1:10" ht="25.5" x14ac:dyDescent="0.2">
      <c r="A206" s="2"/>
      <c r="B206" s="40"/>
      <c r="C206" s="86" t="s">
        <v>4</v>
      </c>
      <c r="D206" s="22" t="s">
        <v>4</v>
      </c>
      <c r="E206" s="21">
        <v>2</v>
      </c>
      <c r="F206" s="22" t="s">
        <v>190</v>
      </c>
      <c r="G206" s="9" t="s">
        <v>4</v>
      </c>
      <c r="H206" s="10"/>
      <c r="I206" s="87"/>
      <c r="J206" s="7"/>
    </row>
    <row r="207" spans="1:10" ht="26.25" thickBot="1" x14ac:dyDescent="0.25">
      <c r="A207" s="2"/>
      <c r="B207" s="40"/>
      <c r="C207" s="86" t="s">
        <v>4</v>
      </c>
      <c r="D207" s="22" t="s">
        <v>4</v>
      </c>
      <c r="E207" s="21">
        <v>3</v>
      </c>
      <c r="F207" s="22" t="s">
        <v>191</v>
      </c>
      <c r="G207" s="9" t="s">
        <v>4</v>
      </c>
      <c r="H207" s="10"/>
      <c r="I207" s="87"/>
      <c r="J207" s="7"/>
    </row>
    <row r="208" spans="1:10" ht="38.25" x14ac:dyDescent="0.2">
      <c r="A208" s="107"/>
      <c r="B208" s="108"/>
      <c r="C208" s="91" t="s">
        <v>356</v>
      </c>
      <c r="D208" s="130" t="s">
        <v>226</v>
      </c>
      <c r="E208" s="92" t="s">
        <v>4</v>
      </c>
      <c r="F208" s="82" t="s">
        <v>4</v>
      </c>
      <c r="G208" s="83" t="s">
        <v>4</v>
      </c>
      <c r="H208" s="84">
        <v>4</v>
      </c>
      <c r="I208" s="85">
        <v>1.5</v>
      </c>
      <c r="J208" s="7"/>
    </row>
    <row r="209" spans="1:10" ht="18.95" customHeight="1" x14ac:dyDescent="0.2">
      <c r="A209" s="107"/>
      <c r="B209" s="109"/>
      <c r="C209" s="86" t="s">
        <v>4</v>
      </c>
      <c r="D209" s="22" t="s">
        <v>4</v>
      </c>
      <c r="E209" s="21">
        <v>0</v>
      </c>
      <c r="F209" s="22" t="s">
        <v>194</v>
      </c>
      <c r="G209" s="9" t="s">
        <v>4</v>
      </c>
      <c r="H209" s="10"/>
      <c r="I209" s="87"/>
      <c r="J209" s="7"/>
    </row>
    <row r="210" spans="1:10" ht="38.25" x14ac:dyDescent="0.2">
      <c r="A210" s="107"/>
      <c r="B210" s="109"/>
      <c r="C210" s="86" t="s">
        <v>4</v>
      </c>
      <c r="D210" s="22" t="s">
        <v>4</v>
      </c>
      <c r="E210" s="21">
        <v>1</v>
      </c>
      <c r="F210" s="22" t="s">
        <v>193</v>
      </c>
      <c r="G210" s="9" t="s">
        <v>4</v>
      </c>
      <c r="H210" s="10"/>
      <c r="I210" s="87"/>
      <c r="J210" s="7"/>
    </row>
    <row r="211" spans="1:10" ht="51" x14ac:dyDescent="0.2">
      <c r="A211" s="107"/>
      <c r="B211" s="109"/>
      <c r="C211" s="86" t="s">
        <v>4</v>
      </c>
      <c r="D211" s="22" t="s">
        <v>4</v>
      </c>
      <c r="E211" s="21">
        <v>2</v>
      </c>
      <c r="F211" s="22" t="s">
        <v>150</v>
      </c>
      <c r="G211" s="9" t="s">
        <v>4</v>
      </c>
      <c r="H211" s="10"/>
      <c r="I211" s="87"/>
      <c r="J211" s="7"/>
    </row>
    <row r="212" spans="1:10" ht="51" x14ac:dyDescent="0.2">
      <c r="A212" s="107"/>
      <c r="B212" s="109"/>
      <c r="C212" s="86" t="s">
        <v>4</v>
      </c>
      <c r="D212" s="22" t="s">
        <v>4</v>
      </c>
      <c r="E212" s="21">
        <v>3</v>
      </c>
      <c r="F212" s="22" t="s">
        <v>192</v>
      </c>
      <c r="G212" s="9" t="s">
        <v>4</v>
      </c>
      <c r="H212" s="10"/>
      <c r="I212" s="87"/>
      <c r="J212" s="7"/>
    </row>
    <row r="213" spans="1:10" ht="25.5" x14ac:dyDescent="0.2">
      <c r="A213" s="107"/>
      <c r="B213" s="109"/>
      <c r="C213" s="88" t="s">
        <v>352</v>
      </c>
      <c r="D213" s="121" t="s">
        <v>230</v>
      </c>
      <c r="E213" s="21"/>
      <c r="F213" s="22"/>
      <c r="G213" s="9"/>
      <c r="H213" s="10">
        <v>4</v>
      </c>
      <c r="I213" s="87">
        <v>1</v>
      </c>
      <c r="J213" s="7"/>
    </row>
    <row r="214" spans="1:10" ht="25.5" x14ac:dyDescent="0.2">
      <c r="A214" s="107"/>
      <c r="B214" s="109"/>
      <c r="C214" s="86"/>
      <c r="D214" s="22"/>
      <c r="E214" s="21">
        <v>0</v>
      </c>
      <c r="F214" s="22" t="s">
        <v>285</v>
      </c>
      <c r="G214" s="9"/>
      <c r="H214" s="10"/>
      <c r="I214" s="87"/>
      <c r="J214" s="7"/>
    </row>
    <row r="215" spans="1:10" ht="25.5" x14ac:dyDescent="0.2">
      <c r="A215" s="107"/>
      <c r="B215" s="109"/>
      <c r="C215" s="86"/>
      <c r="D215" s="22"/>
      <c r="E215" s="21">
        <v>1</v>
      </c>
      <c r="F215" s="22" t="s">
        <v>227</v>
      </c>
      <c r="G215" s="9"/>
      <c r="H215" s="10"/>
      <c r="I215" s="87"/>
      <c r="J215" s="7"/>
    </row>
    <row r="216" spans="1:10" ht="25.5" x14ac:dyDescent="0.2">
      <c r="A216" s="107"/>
      <c r="B216" s="109"/>
      <c r="C216" s="86"/>
      <c r="D216" s="22"/>
      <c r="E216" s="21">
        <v>2</v>
      </c>
      <c r="F216" s="22" t="s">
        <v>228</v>
      </c>
      <c r="G216" s="9"/>
      <c r="H216" s="10"/>
      <c r="I216" s="87"/>
      <c r="J216" s="7"/>
    </row>
    <row r="217" spans="1:10" ht="51" x14ac:dyDescent="0.2">
      <c r="A217" s="107"/>
      <c r="B217" s="109"/>
      <c r="C217" s="86"/>
      <c r="D217" s="22"/>
      <c r="E217" s="21">
        <v>3</v>
      </c>
      <c r="F217" s="22" t="s">
        <v>229</v>
      </c>
      <c r="G217" s="9"/>
      <c r="H217" s="10"/>
      <c r="I217" s="87"/>
      <c r="J217" s="7"/>
    </row>
    <row r="218" spans="1:10" ht="13.5" thickBot="1" x14ac:dyDescent="0.25">
      <c r="A218" s="107" t="s">
        <v>66</v>
      </c>
      <c r="B218" s="110" t="s">
        <v>67</v>
      </c>
      <c r="C218" s="93" t="s">
        <v>4</v>
      </c>
      <c r="D218" s="26" t="s">
        <v>4</v>
      </c>
      <c r="E218" s="25" t="s">
        <v>4</v>
      </c>
      <c r="F218" s="26" t="s">
        <v>4</v>
      </c>
      <c r="G218" s="12" t="s">
        <v>4</v>
      </c>
      <c r="H218" s="12"/>
      <c r="I218" s="94" t="s">
        <v>4</v>
      </c>
      <c r="J218" s="7"/>
    </row>
    <row r="219" spans="1:10" ht="20.25" customHeight="1" x14ac:dyDescent="0.2">
      <c r="A219" s="2" t="s">
        <v>4</v>
      </c>
      <c r="B219" s="40" t="s">
        <v>4</v>
      </c>
      <c r="C219" s="103" t="s">
        <v>321</v>
      </c>
      <c r="D219" s="133" t="s">
        <v>68</v>
      </c>
      <c r="E219" s="92" t="s">
        <v>4</v>
      </c>
      <c r="F219" s="82" t="s">
        <v>4</v>
      </c>
      <c r="G219" s="83" t="s">
        <v>4</v>
      </c>
      <c r="H219" s="84">
        <v>5</v>
      </c>
      <c r="I219" s="85">
        <v>1</v>
      </c>
      <c r="J219" s="7"/>
    </row>
    <row r="220" spans="1:10" ht="25.5" x14ac:dyDescent="0.2">
      <c r="A220" s="2" t="s">
        <v>4</v>
      </c>
      <c r="B220" s="40" t="s">
        <v>4</v>
      </c>
      <c r="C220" s="88" t="s">
        <v>357</v>
      </c>
      <c r="D220" s="124" t="s">
        <v>141</v>
      </c>
      <c r="E220" s="21" t="s">
        <v>4</v>
      </c>
      <c r="F220" s="22" t="s">
        <v>121</v>
      </c>
      <c r="G220" s="9" t="s">
        <v>4</v>
      </c>
      <c r="H220" s="10">
        <v>5</v>
      </c>
      <c r="I220" s="87">
        <v>1</v>
      </c>
      <c r="J220" s="7"/>
    </row>
    <row r="221" spans="1:10" ht="38.25" x14ac:dyDescent="0.2">
      <c r="A221" s="2" t="s">
        <v>4</v>
      </c>
      <c r="B221" s="40" t="s">
        <v>4</v>
      </c>
      <c r="C221" s="88" t="s">
        <v>358</v>
      </c>
      <c r="D221" s="124" t="s">
        <v>70</v>
      </c>
      <c r="E221" s="21" t="s">
        <v>4</v>
      </c>
      <c r="F221" s="22" t="s">
        <v>4</v>
      </c>
      <c r="G221" s="9" t="s">
        <v>4</v>
      </c>
      <c r="H221" s="10">
        <v>5</v>
      </c>
      <c r="I221" s="87">
        <v>0.75</v>
      </c>
      <c r="J221" s="7"/>
    </row>
    <row r="222" spans="1:10" ht="25.5" x14ac:dyDescent="0.2">
      <c r="A222" s="2"/>
      <c r="B222" s="40"/>
      <c r="C222" s="88" t="s">
        <v>357</v>
      </c>
      <c r="D222" s="124" t="s">
        <v>69</v>
      </c>
      <c r="E222" s="21" t="s">
        <v>4</v>
      </c>
      <c r="F222" s="22" t="s">
        <v>4</v>
      </c>
      <c r="G222" s="9" t="s">
        <v>4</v>
      </c>
      <c r="H222" s="10">
        <v>5</v>
      </c>
      <c r="I222" s="87">
        <v>1</v>
      </c>
      <c r="J222" s="7"/>
    </row>
    <row r="223" spans="1:10" ht="24.75" customHeight="1" thickBot="1" x14ac:dyDescent="0.25">
      <c r="A223" s="2"/>
      <c r="B223" s="40"/>
      <c r="C223" s="89" t="s">
        <v>321</v>
      </c>
      <c r="D223" s="144" t="s">
        <v>151</v>
      </c>
      <c r="E223" s="25"/>
      <c r="F223" s="26"/>
      <c r="G223" s="12"/>
      <c r="H223" s="13">
        <v>5</v>
      </c>
      <c r="I223" s="90">
        <v>0.75</v>
      </c>
      <c r="J223" s="7"/>
    </row>
    <row r="224" spans="1:10" ht="25.5" x14ac:dyDescent="0.2">
      <c r="A224" s="2"/>
      <c r="B224" s="40"/>
      <c r="C224" s="86" t="s">
        <v>327</v>
      </c>
      <c r="D224" s="139" t="s">
        <v>37</v>
      </c>
      <c r="E224" s="21" t="s">
        <v>4</v>
      </c>
      <c r="F224" s="22" t="s">
        <v>152</v>
      </c>
      <c r="G224" s="9" t="s">
        <v>4</v>
      </c>
      <c r="H224" s="10">
        <v>6</v>
      </c>
      <c r="I224" s="87">
        <v>1.5</v>
      </c>
      <c r="J224" s="7"/>
    </row>
    <row r="225" spans="1:10" ht="17.25" customHeight="1" x14ac:dyDescent="0.2">
      <c r="A225" s="2"/>
      <c r="B225" s="40"/>
      <c r="C225" s="86" t="s">
        <v>320</v>
      </c>
      <c r="D225" s="125" t="s">
        <v>139</v>
      </c>
      <c r="E225" s="21" t="s">
        <v>4</v>
      </c>
      <c r="F225" s="22" t="s">
        <v>4</v>
      </c>
      <c r="G225" s="9" t="s">
        <v>4</v>
      </c>
      <c r="H225" s="10">
        <v>6</v>
      </c>
      <c r="I225" s="87">
        <v>1</v>
      </c>
      <c r="J225" s="7"/>
    </row>
    <row r="226" spans="1:10" ht="25.5" x14ac:dyDescent="0.2">
      <c r="A226" s="2"/>
      <c r="B226" s="40"/>
      <c r="C226" s="88" t="s">
        <v>332</v>
      </c>
      <c r="D226" s="125" t="s">
        <v>75</v>
      </c>
      <c r="E226" s="21" t="s">
        <v>4</v>
      </c>
      <c r="F226" s="22" t="s">
        <v>153</v>
      </c>
      <c r="G226" s="9" t="s">
        <v>4</v>
      </c>
      <c r="H226" s="10">
        <v>6</v>
      </c>
      <c r="I226" s="87">
        <v>1.5</v>
      </c>
      <c r="J226" s="7"/>
    </row>
    <row r="227" spans="1:10" ht="25.5" x14ac:dyDescent="0.2">
      <c r="A227" s="2" t="s">
        <v>4</v>
      </c>
      <c r="B227" s="40" t="s">
        <v>4</v>
      </c>
      <c r="C227" s="86" t="s">
        <v>320</v>
      </c>
      <c r="D227" s="125" t="s">
        <v>71</v>
      </c>
      <c r="E227" s="21" t="s">
        <v>4</v>
      </c>
      <c r="F227" s="22" t="s">
        <v>4</v>
      </c>
      <c r="G227" s="9" t="s">
        <v>4</v>
      </c>
      <c r="H227" s="10">
        <v>6</v>
      </c>
      <c r="I227" s="87">
        <v>1</v>
      </c>
      <c r="J227" s="7"/>
    </row>
    <row r="228" spans="1:10" ht="25.5" x14ac:dyDescent="0.2">
      <c r="A228" s="2" t="s">
        <v>4</v>
      </c>
      <c r="B228" s="40" t="s">
        <v>4</v>
      </c>
      <c r="C228" s="86" t="s">
        <v>320</v>
      </c>
      <c r="D228" s="125" t="s">
        <v>72</v>
      </c>
      <c r="E228" s="21" t="s">
        <v>4</v>
      </c>
      <c r="F228" s="22" t="s">
        <v>154</v>
      </c>
      <c r="G228" s="9" t="s">
        <v>4</v>
      </c>
      <c r="H228" s="10">
        <v>6</v>
      </c>
      <c r="I228" s="87">
        <v>1</v>
      </c>
      <c r="J228" s="7"/>
    </row>
    <row r="229" spans="1:10" ht="25.5" x14ac:dyDescent="0.2">
      <c r="A229" s="2" t="s">
        <v>4</v>
      </c>
      <c r="B229" s="40" t="s">
        <v>4</v>
      </c>
      <c r="C229" s="86" t="s">
        <v>320</v>
      </c>
      <c r="D229" s="125" t="s">
        <v>73</v>
      </c>
      <c r="E229" s="21" t="s">
        <v>4</v>
      </c>
      <c r="F229" s="22" t="s">
        <v>154</v>
      </c>
      <c r="G229" s="9" t="s">
        <v>4</v>
      </c>
      <c r="H229" s="10">
        <v>6</v>
      </c>
      <c r="I229" s="87">
        <v>1</v>
      </c>
      <c r="J229" s="7"/>
    </row>
    <row r="230" spans="1:10" ht="13.5" thickBot="1" x14ac:dyDescent="0.25">
      <c r="A230" s="2" t="s">
        <v>4</v>
      </c>
      <c r="B230" s="40" t="s">
        <v>4</v>
      </c>
      <c r="C230" s="86" t="s">
        <v>320</v>
      </c>
      <c r="D230" s="125" t="s">
        <v>74</v>
      </c>
      <c r="E230" s="21" t="s">
        <v>4</v>
      </c>
      <c r="F230" s="22" t="s">
        <v>4</v>
      </c>
      <c r="G230" s="9" t="s">
        <v>4</v>
      </c>
      <c r="H230" s="10">
        <v>6</v>
      </c>
      <c r="I230" s="87">
        <v>1</v>
      </c>
      <c r="J230" s="7"/>
    </row>
    <row r="231" spans="1:10" ht="21" customHeight="1" thickBot="1" x14ac:dyDescent="0.25">
      <c r="A231" s="2"/>
      <c r="B231" s="40"/>
      <c r="C231" s="111" t="s">
        <v>320</v>
      </c>
      <c r="D231" s="146" t="s">
        <v>234</v>
      </c>
      <c r="E231" s="112"/>
      <c r="F231" s="113"/>
      <c r="G231" s="114"/>
      <c r="H231" s="115">
        <v>6</v>
      </c>
      <c r="I231" s="116">
        <v>1</v>
      </c>
      <c r="J231" s="7"/>
    </row>
    <row r="232" spans="1:10" ht="25.5" x14ac:dyDescent="0.2">
      <c r="A232" s="2"/>
      <c r="B232" s="40"/>
      <c r="C232" s="86"/>
      <c r="D232" s="22"/>
      <c r="E232" s="21">
        <v>0</v>
      </c>
      <c r="F232" s="22" t="s">
        <v>235</v>
      </c>
      <c r="G232" s="9"/>
      <c r="H232" s="10"/>
      <c r="I232" s="87"/>
      <c r="J232" s="7"/>
    </row>
    <row r="233" spans="1:10" ht="51" x14ac:dyDescent="0.2">
      <c r="A233" s="2"/>
      <c r="B233" s="40"/>
      <c r="C233" s="86"/>
      <c r="D233" s="22"/>
      <c r="E233" s="21">
        <v>1</v>
      </c>
      <c r="F233" s="22" t="s">
        <v>251</v>
      </c>
      <c r="G233" s="9"/>
      <c r="H233" s="10"/>
      <c r="I233" s="87"/>
      <c r="J233" s="7"/>
    </row>
    <row r="234" spans="1:10" ht="51" x14ac:dyDescent="0.2">
      <c r="A234" s="2"/>
      <c r="B234" s="40"/>
      <c r="C234" s="86"/>
      <c r="D234" s="22"/>
      <c r="E234" s="21">
        <v>2</v>
      </c>
      <c r="F234" s="22" t="s">
        <v>236</v>
      </c>
      <c r="G234" s="9"/>
      <c r="H234" s="10"/>
      <c r="I234" s="87"/>
      <c r="J234" s="7"/>
    </row>
    <row r="235" spans="1:10" ht="39" thickBot="1" x14ac:dyDescent="0.25">
      <c r="A235" s="2"/>
      <c r="B235" s="40"/>
      <c r="C235" s="89"/>
      <c r="D235" s="26"/>
      <c r="E235" s="25">
        <v>3</v>
      </c>
      <c r="F235" s="26" t="s">
        <v>286</v>
      </c>
      <c r="G235" s="12"/>
      <c r="H235" s="13"/>
      <c r="I235" s="90"/>
      <c r="J235" s="7"/>
    </row>
    <row r="236" spans="1:10" x14ac:dyDescent="0.2">
      <c r="A236" s="2"/>
      <c r="B236" s="40"/>
      <c r="C236" s="103" t="s">
        <v>320</v>
      </c>
      <c r="D236" s="132" t="s">
        <v>76</v>
      </c>
      <c r="E236" s="92" t="s">
        <v>4</v>
      </c>
      <c r="F236" s="82" t="s">
        <v>4</v>
      </c>
      <c r="G236" s="83" t="s">
        <v>4</v>
      </c>
      <c r="H236" s="84">
        <v>6</v>
      </c>
      <c r="I236" s="85">
        <v>2</v>
      </c>
      <c r="J236" s="7"/>
    </row>
    <row r="237" spans="1:10" x14ac:dyDescent="0.2">
      <c r="A237" s="2"/>
      <c r="B237" s="40"/>
      <c r="C237" s="86" t="s">
        <v>4</v>
      </c>
      <c r="D237" s="22" t="s">
        <v>4</v>
      </c>
      <c r="E237" s="21">
        <v>0</v>
      </c>
      <c r="F237" s="22" t="s">
        <v>18</v>
      </c>
      <c r="G237" s="9" t="s">
        <v>4</v>
      </c>
      <c r="H237" s="10"/>
      <c r="I237" s="87"/>
      <c r="J237" s="7"/>
    </row>
    <row r="238" spans="1:10" x14ac:dyDescent="0.2">
      <c r="A238" s="2"/>
      <c r="B238" s="40"/>
      <c r="C238" s="86" t="s">
        <v>4</v>
      </c>
      <c r="D238" s="22" t="s">
        <v>4</v>
      </c>
      <c r="E238" s="21">
        <v>1</v>
      </c>
      <c r="F238" s="22" t="s">
        <v>122</v>
      </c>
      <c r="G238" s="9" t="s">
        <v>4</v>
      </c>
      <c r="H238" s="10"/>
      <c r="I238" s="87"/>
      <c r="J238" s="7"/>
    </row>
    <row r="239" spans="1:10" x14ac:dyDescent="0.2">
      <c r="A239" s="2"/>
      <c r="B239" s="40"/>
      <c r="C239" s="86" t="s">
        <v>4</v>
      </c>
      <c r="D239" s="22" t="s">
        <v>4</v>
      </c>
      <c r="E239" s="21">
        <v>2</v>
      </c>
      <c r="F239" s="22" t="s">
        <v>123</v>
      </c>
      <c r="G239" s="9" t="s">
        <v>4</v>
      </c>
      <c r="H239" s="10"/>
      <c r="I239" s="87"/>
      <c r="J239" s="7"/>
    </row>
    <row r="240" spans="1:10" ht="26.25" thickBot="1" x14ac:dyDescent="0.25">
      <c r="A240" s="2"/>
      <c r="B240" s="40"/>
      <c r="C240" s="89" t="s">
        <v>4</v>
      </c>
      <c r="D240" s="26" t="s">
        <v>4</v>
      </c>
      <c r="E240" s="25">
        <v>3</v>
      </c>
      <c r="F240" s="26" t="s">
        <v>77</v>
      </c>
      <c r="G240" s="12" t="s">
        <v>4</v>
      </c>
      <c r="H240" s="13"/>
      <c r="I240" s="90"/>
      <c r="J240" s="7"/>
    </row>
    <row r="241" spans="1:10" ht="25.5" x14ac:dyDescent="0.2">
      <c r="A241" s="2"/>
      <c r="B241" s="40"/>
      <c r="C241" s="103" t="s">
        <v>320</v>
      </c>
      <c r="D241" s="132" t="s">
        <v>78</v>
      </c>
      <c r="E241" s="92" t="s">
        <v>4</v>
      </c>
      <c r="F241" s="82" t="s">
        <v>4</v>
      </c>
      <c r="G241" s="83" t="s">
        <v>4</v>
      </c>
      <c r="H241" s="84">
        <v>6</v>
      </c>
      <c r="I241" s="85">
        <v>1</v>
      </c>
      <c r="J241" s="7"/>
    </row>
    <row r="242" spans="1:10" ht="25.5" x14ac:dyDescent="0.2">
      <c r="A242" s="2"/>
      <c r="B242" s="40"/>
      <c r="C242" s="86" t="s">
        <v>4</v>
      </c>
      <c r="D242" s="22" t="s">
        <v>4</v>
      </c>
      <c r="E242" s="21">
        <v>0</v>
      </c>
      <c r="F242" s="22" t="s">
        <v>79</v>
      </c>
      <c r="G242" s="9" t="s">
        <v>4</v>
      </c>
      <c r="H242" s="10"/>
      <c r="I242" s="87"/>
      <c r="J242" s="7"/>
    </row>
    <row r="243" spans="1:10" ht="25.5" x14ac:dyDescent="0.2">
      <c r="A243" s="2"/>
      <c r="B243" s="40"/>
      <c r="C243" s="86" t="s">
        <v>4</v>
      </c>
      <c r="D243" s="22" t="s">
        <v>4</v>
      </c>
      <c r="E243" s="21">
        <v>1</v>
      </c>
      <c r="F243" s="22" t="s">
        <v>80</v>
      </c>
      <c r="G243" s="9" t="s">
        <v>4</v>
      </c>
      <c r="H243" s="10"/>
      <c r="I243" s="87"/>
      <c r="J243" s="7"/>
    </row>
    <row r="244" spans="1:10" ht="38.25" x14ac:dyDescent="0.2">
      <c r="A244" s="2"/>
      <c r="B244" s="40"/>
      <c r="C244" s="86" t="s">
        <v>4</v>
      </c>
      <c r="D244" s="22" t="s">
        <v>4</v>
      </c>
      <c r="E244" s="21">
        <v>2</v>
      </c>
      <c r="F244" s="22" t="s">
        <v>241</v>
      </c>
      <c r="G244" s="9" t="s">
        <v>4</v>
      </c>
      <c r="H244" s="10"/>
      <c r="I244" s="87"/>
      <c r="J244" s="7"/>
    </row>
    <row r="245" spans="1:10" ht="51.75" thickBot="1" x14ac:dyDescent="0.25">
      <c r="A245" s="2"/>
      <c r="B245" s="40"/>
      <c r="C245" s="89" t="s">
        <v>4</v>
      </c>
      <c r="D245" s="26" t="s">
        <v>4</v>
      </c>
      <c r="E245" s="25">
        <v>3</v>
      </c>
      <c r="F245" s="26" t="s">
        <v>242</v>
      </c>
      <c r="G245" s="12" t="s">
        <v>4</v>
      </c>
      <c r="H245" s="13"/>
      <c r="I245" s="90"/>
      <c r="J245" s="7"/>
    </row>
    <row r="246" spans="1:10" ht="39" thickBot="1" x14ac:dyDescent="0.25">
      <c r="A246" s="4" t="s">
        <v>0</v>
      </c>
      <c r="B246" s="4" t="s">
        <v>1</v>
      </c>
      <c r="C246" s="15" t="s">
        <v>335</v>
      </c>
      <c r="D246" s="15" t="s">
        <v>336</v>
      </c>
      <c r="E246" s="15" t="s">
        <v>337</v>
      </c>
      <c r="F246" s="15" t="s">
        <v>360</v>
      </c>
      <c r="G246" s="4" t="s">
        <v>2</v>
      </c>
      <c r="H246" s="4" t="s">
        <v>3</v>
      </c>
      <c r="I246" s="15" t="s">
        <v>338</v>
      </c>
      <c r="J246" s="6"/>
    </row>
    <row r="247" spans="1:10" ht="26.25" thickBot="1" x14ac:dyDescent="0.25">
      <c r="A247" s="2" t="s">
        <v>81</v>
      </c>
      <c r="B247" s="8" t="s">
        <v>278</v>
      </c>
      <c r="C247" s="18" t="s">
        <v>4</v>
      </c>
      <c r="D247" s="17" t="s">
        <v>4</v>
      </c>
      <c r="E247" s="21" t="s">
        <v>4</v>
      </c>
      <c r="F247" s="17" t="s">
        <v>4</v>
      </c>
      <c r="G247" s="1" t="s">
        <v>4</v>
      </c>
      <c r="H247" s="1"/>
      <c r="I247" s="18" t="s">
        <v>4</v>
      </c>
      <c r="J247" s="7"/>
    </row>
    <row r="248" spans="1:10" ht="38.25" x14ac:dyDescent="0.2">
      <c r="A248" s="2"/>
      <c r="B248" s="40"/>
      <c r="C248" s="103" t="s">
        <v>321</v>
      </c>
      <c r="D248" s="133" t="s">
        <v>82</v>
      </c>
      <c r="E248" s="92" t="s">
        <v>4</v>
      </c>
      <c r="F248" s="117" t="s">
        <v>243</v>
      </c>
      <c r="G248" s="83" t="s">
        <v>4</v>
      </c>
      <c r="H248" s="84">
        <v>1</v>
      </c>
      <c r="I248" s="85">
        <v>1.5</v>
      </c>
      <c r="J248" s="7"/>
    </row>
    <row r="249" spans="1:10" ht="38.25" x14ac:dyDescent="0.2">
      <c r="A249" s="2"/>
      <c r="B249" s="40"/>
      <c r="C249" s="86"/>
      <c r="D249" s="22"/>
      <c r="E249" s="21"/>
      <c r="F249" s="17" t="s">
        <v>86</v>
      </c>
      <c r="G249" s="9"/>
      <c r="H249" s="10"/>
      <c r="I249" s="87"/>
      <c r="J249" s="7"/>
    </row>
    <row r="250" spans="1:10" ht="13.5" thickBot="1" x14ac:dyDescent="0.25">
      <c r="A250" s="2"/>
      <c r="B250" s="40"/>
      <c r="C250" s="89" t="s">
        <v>4</v>
      </c>
      <c r="D250" s="26" t="s">
        <v>4</v>
      </c>
      <c r="E250" s="25" t="s">
        <v>4</v>
      </c>
      <c r="F250" s="100" t="s">
        <v>83</v>
      </c>
      <c r="G250" s="12" t="s">
        <v>4</v>
      </c>
      <c r="H250" s="13"/>
      <c r="I250" s="90"/>
      <c r="J250" s="7"/>
    </row>
    <row r="251" spans="1:10" ht="38.25" x14ac:dyDescent="0.2">
      <c r="A251" s="2"/>
      <c r="B251" s="40"/>
      <c r="C251" s="91" t="s">
        <v>333</v>
      </c>
      <c r="D251" s="133" t="s">
        <v>84</v>
      </c>
      <c r="E251" s="92" t="s">
        <v>4</v>
      </c>
      <c r="F251" s="117" t="s">
        <v>244</v>
      </c>
      <c r="G251" s="83" t="s">
        <v>4</v>
      </c>
      <c r="H251" s="84">
        <v>7</v>
      </c>
      <c r="I251" s="85">
        <v>2</v>
      </c>
      <c r="J251" s="7"/>
    </row>
    <row r="252" spans="1:10" x14ac:dyDescent="0.2">
      <c r="A252" s="2"/>
      <c r="B252" s="40"/>
      <c r="C252" s="86" t="s">
        <v>4</v>
      </c>
      <c r="D252" s="22" t="s">
        <v>4</v>
      </c>
      <c r="E252" s="21" t="s">
        <v>4</v>
      </c>
      <c r="F252" s="17" t="s">
        <v>85</v>
      </c>
      <c r="G252" s="9" t="s">
        <v>4</v>
      </c>
      <c r="H252" s="10"/>
      <c r="I252" s="87"/>
      <c r="J252" s="7"/>
    </row>
    <row r="253" spans="1:10" ht="25.5" x14ac:dyDescent="0.2">
      <c r="A253" s="2"/>
      <c r="B253" s="40"/>
      <c r="C253" s="86" t="s">
        <v>4</v>
      </c>
      <c r="D253" s="22" t="s">
        <v>4</v>
      </c>
      <c r="E253" s="21" t="s">
        <v>4</v>
      </c>
      <c r="F253" s="17" t="s">
        <v>245</v>
      </c>
      <c r="G253" s="9" t="s">
        <v>4</v>
      </c>
      <c r="H253" s="10"/>
      <c r="I253" s="87"/>
      <c r="J253" s="7"/>
    </row>
    <row r="254" spans="1:10" ht="26.25" thickBot="1" x14ac:dyDescent="0.25">
      <c r="A254" s="2"/>
      <c r="B254" s="40"/>
      <c r="C254" s="89"/>
      <c r="D254" s="26"/>
      <c r="E254" s="25"/>
      <c r="F254" s="100" t="s">
        <v>246</v>
      </c>
      <c r="G254" s="12"/>
      <c r="H254" s="13"/>
      <c r="I254" s="90"/>
      <c r="J254" s="7"/>
    </row>
    <row r="255" spans="1:10" x14ac:dyDescent="0.2">
      <c r="A255" s="2"/>
      <c r="B255" s="8"/>
      <c r="C255" s="19" t="s">
        <v>334</v>
      </c>
      <c r="D255" s="20" t="s">
        <v>87</v>
      </c>
      <c r="E255" s="21" t="s">
        <v>4</v>
      </c>
      <c r="F255" s="22" t="s">
        <v>88</v>
      </c>
      <c r="G255" s="9" t="s">
        <v>4</v>
      </c>
      <c r="H255" s="10">
        <v>7</v>
      </c>
      <c r="I255" s="28">
        <v>1</v>
      </c>
      <c r="J255" s="7"/>
    </row>
    <row r="256" spans="1:10" x14ac:dyDescent="0.2">
      <c r="A256" s="2"/>
      <c r="B256" s="8"/>
      <c r="C256" s="19" t="s">
        <v>4</v>
      </c>
      <c r="D256" s="22" t="s">
        <v>4</v>
      </c>
      <c r="E256" s="21" t="s">
        <v>4</v>
      </c>
      <c r="F256" s="22" t="s">
        <v>89</v>
      </c>
      <c r="G256" s="9" t="s">
        <v>4</v>
      </c>
      <c r="H256" s="10"/>
      <c r="I256" s="28"/>
      <c r="J256" s="7"/>
    </row>
    <row r="257" spans="1:10" ht="25.5" x14ac:dyDescent="0.2">
      <c r="A257" s="2"/>
      <c r="B257" s="8"/>
      <c r="C257" s="19" t="s">
        <v>334</v>
      </c>
      <c r="D257" s="20" t="s">
        <v>90</v>
      </c>
      <c r="E257" s="21" t="s">
        <v>4</v>
      </c>
      <c r="F257" s="22" t="s">
        <v>91</v>
      </c>
      <c r="G257" s="9" t="s">
        <v>4</v>
      </c>
      <c r="H257" s="10">
        <v>7</v>
      </c>
      <c r="I257" s="28">
        <v>1</v>
      </c>
      <c r="J257" s="7"/>
    </row>
    <row r="258" spans="1:10" ht="51" x14ac:dyDescent="0.2">
      <c r="A258" s="2"/>
      <c r="B258" s="8"/>
      <c r="C258" s="19"/>
      <c r="D258" s="22"/>
      <c r="E258" s="21"/>
      <c r="F258" s="22" t="s">
        <v>247</v>
      </c>
      <c r="G258" s="9"/>
      <c r="H258" s="10"/>
      <c r="I258" s="28"/>
      <c r="J258" s="7"/>
    </row>
    <row r="259" spans="1:10" x14ac:dyDescent="0.2">
      <c r="A259" s="2"/>
      <c r="B259" s="8"/>
      <c r="C259" s="19" t="s">
        <v>334</v>
      </c>
      <c r="D259" s="20" t="s">
        <v>92</v>
      </c>
      <c r="E259" s="21" t="s">
        <v>4</v>
      </c>
      <c r="F259" s="22" t="s">
        <v>4</v>
      </c>
      <c r="G259" s="9" t="s">
        <v>4</v>
      </c>
      <c r="H259" s="10">
        <v>1</v>
      </c>
      <c r="I259" s="28">
        <v>1</v>
      </c>
      <c r="J259" s="7"/>
    </row>
    <row r="260" spans="1:10" x14ac:dyDescent="0.2">
      <c r="A260" s="2"/>
      <c r="B260" s="8"/>
      <c r="C260" s="19" t="s">
        <v>334</v>
      </c>
      <c r="D260" s="20" t="s">
        <v>93</v>
      </c>
      <c r="E260" s="21" t="s">
        <v>4</v>
      </c>
      <c r="F260" s="22" t="s">
        <v>4</v>
      </c>
      <c r="G260" s="9" t="s">
        <v>4</v>
      </c>
      <c r="H260" s="10">
        <v>1</v>
      </c>
      <c r="I260" s="28">
        <v>2</v>
      </c>
      <c r="J260" s="7"/>
    </row>
    <row r="261" spans="1:10" x14ac:dyDescent="0.2">
      <c r="A261" s="2"/>
      <c r="B261" s="8"/>
      <c r="C261" s="19" t="s">
        <v>4</v>
      </c>
      <c r="D261" s="22" t="s">
        <v>4</v>
      </c>
      <c r="E261" s="21">
        <v>0</v>
      </c>
      <c r="F261" s="22" t="s">
        <v>196</v>
      </c>
      <c r="G261" s="9" t="s">
        <v>4</v>
      </c>
      <c r="H261" s="10"/>
      <c r="I261" s="28"/>
      <c r="J261" s="7"/>
    </row>
    <row r="262" spans="1:10" x14ac:dyDescent="0.2">
      <c r="A262" s="2"/>
      <c r="B262" s="8"/>
      <c r="C262" s="19" t="s">
        <v>4</v>
      </c>
      <c r="D262" s="22" t="s">
        <v>4</v>
      </c>
      <c r="E262" s="21">
        <v>1</v>
      </c>
      <c r="F262" s="22" t="s">
        <v>195</v>
      </c>
      <c r="G262" s="9" t="s">
        <v>4</v>
      </c>
      <c r="H262" s="10"/>
      <c r="I262" s="28"/>
      <c r="J262" s="7"/>
    </row>
    <row r="263" spans="1:10" x14ac:dyDescent="0.2">
      <c r="A263" s="2"/>
      <c r="B263" s="8"/>
      <c r="C263" s="19" t="s">
        <v>4</v>
      </c>
      <c r="D263" s="22" t="s">
        <v>4</v>
      </c>
      <c r="E263" s="21">
        <v>2</v>
      </c>
      <c r="F263" s="22" t="s">
        <v>107</v>
      </c>
      <c r="G263" s="9" t="s">
        <v>4</v>
      </c>
      <c r="H263" s="10"/>
      <c r="I263" s="28"/>
      <c r="J263" s="7"/>
    </row>
    <row r="264" spans="1:10" x14ac:dyDescent="0.2">
      <c r="A264" s="2"/>
      <c r="B264" s="8"/>
      <c r="C264" s="19" t="s">
        <v>4</v>
      </c>
      <c r="D264" s="22" t="s">
        <v>4</v>
      </c>
      <c r="E264" s="21">
        <v>3</v>
      </c>
      <c r="F264" s="22" t="s">
        <v>94</v>
      </c>
      <c r="G264" s="9" t="s">
        <v>4</v>
      </c>
      <c r="H264" s="10"/>
      <c r="I264" s="28"/>
      <c r="J264" s="7"/>
    </row>
    <row r="265" spans="1:10" ht="25.5" x14ac:dyDescent="0.2">
      <c r="A265" s="2" t="s">
        <v>95</v>
      </c>
      <c r="B265" s="8" t="s">
        <v>146</v>
      </c>
      <c r="C265" s="18"/>
      <c r="D265" s="17"/>
      <c r="E265" s="21"/>
      <c r="F265" s="17"/>
      <c r="G265" s="1"/>
      <c r="H265" s="1"/>
      <c r="I265" s="18"/>
      <c r="J265" s="7"/>
    </row>
    <row r="266" spans="1:10" x14ac:dyDescent="0.2">
      <c r="A266" s="2" t="s">
        <v>4</v>
      </c>
      <c r="B266" s="8" t="s">
        <v>4</v>
      </c>
      <c r="C266" s="19" t="s">
        <v>321</v>
      </c>
      <c r="D266" s="126" t="s">
        <v>161</v>
      </c>
      <c r="E266" s="21" t="s">
        <v>4</v>
      </c>
      <c r="F266" s="22" t="s">
        <v>4</v>
      </c>
      <c r="G266" s="9" t="s">
        <v>4</v>
      </c>
      <c r="H266" s="10">
        <v>2</v>
      </c>
      <c r="I266" s="28">
        <v>1</v>
      </c>
      <c r="J266" s="7"/>
    </row>
    <row r="267" spans="1:10" ht="25.5" x14ac:dyDescent="0.2">
      <c r="A267" s="2"/>
      <c r="B267" s="8"/>
      <c r="C267" s="19" t="s">
        <v>321</v>
      </c>
      <c r="D267" s="126" t="s">
        <v>162</v>
      </c>
      <c r="E267" s="21" t="s">
        <v>4</v>
      </c>
      <c r="F267" s="22" t="s">
        <v>287</v>
      </c>
      <c r="G267" s="9" t="s">
        <v>4</v>
      </c>
      <c r="H267" s="10">
        <v>1</v>
      </c>
      <c r="I267" s="28">
        <v>1</v>
      </c>
      <c r="J267" s="7"/>
    </row>
    <row r="268" spans="1:10" ht="38.25" x14ac:dyDescent="0.2">
      <c r="A268" s="2"/>
      <c r="B268" s="8"/>
      <c r="C268" s="19" t="s">
        <v>4</v>
      </c>
      <c r="D268" s="22" t="s">
        <v>4</v>
      </c>
      <c r="E268" s="21"/>
      <c r="F268" s="17" t="s">
        <v>288</v>
      </c>
      <c r="G268" s="9" t="s">
        <v>4</v>
      </c>
      <c r="H268" s="10"/>
      <c r="I268" s="28"/>
      <c r="J268" s="7"/>
    </row>
    <row r="269" spans="1:10" x14ac:dyDescent="0.2">
      <c r="A269" s="2" t="s">
        <v>279</v>
      </c>
      <c r="B269" s="8" t="s">
        <v>147</v>
      </c>
      <c r="C269" s="16" t="s">
        <v>4</v>
      </c>
      <c r="D269" s="22" t="s">
        <v>4</v>
      </c>
      <c r="E269" s="21" t="s">
        <v>4</v>
      </c>
      <c r="F269" s="22" t="s">
        <v>4</v>
      </c>
      <c r="G269" s="9" t="s">
        <v>4</v>
      </c>
      <c r="H269" s="9"/>
      <c r="I269" s="16" t="s">
        <v>4</v>
      </c>
      <c r="J269" s="7"/>
    </row>
    <row r="270" spans="1:10" ht="25.5" x14ac:dyDescent="0.2">
      <c r="A270" s="2" t="s">
        <v>4</v>
      </c>
      <c r="B270" s="8" t="s">
        <v>4</v>
      </c>
      <c r="C270" s="19" t="s">
        <v>329</v>
      </c>
      <c r="D270" s="123" t="s">
        <v>96</v>
      </c>
      <c r="E270" s="21" t="s">
        <v>4</v>
      </c>
      <c r="F270" s="22" t="s">
        <v>4</v>
      </c>
      <c r="G270" s="9" t="s">
        <v>4</v>
      </c>
      <c r="H270" s="10">
        <v>3</v>
      </c>
      <c r="I270" s="28">
        <v>2</v>
      </c>
      <c r="J270" s="7"/>
    </row>
    <row r="271" spans="1:10" x14ac:dyDescent="0.2">
      <c r="A271" s="2" t="s">
        <v>4</v>
      </c>
      <c r="B271" s="8" t="s">
        <v>4</v>
      </c>
      <c r="C271" s="19" t="s">
        <v>4</v>
      </c>
      <c r="D271" s="22" t="s">
        <v>4</v>
      </c>
      <c r="E271" s="21">
        <v>0</v>
      </c>
      <c r="F271" s="22" t="s">
        <v>18</v>
      </c>
      <c r="G271" s="9" t="s">
        <v>4</v>
      </c>
      <c r="H271" s="10"/>
      <c r="I271" s="28"/>
      <c r="J271" s="7"/>
    </row>
    <row r="272" spans="1:10" x14ac:dyDescent="0.2">
      <c r="A272" s="2" t="s">
        <v>4</v>
      </c>
      <c r="B272" s="8" t="s">
        <v>4</v>
      </c>
      <c r="C272" s="19" t="s">
        <v>4</v>
      </c>
      <c r="D272" s="22" t="s">
        <v>4</v>
      </c>
      <c r="E272" s="21">
        <v>1</v>
      </c>
      <c r="F272" s="22" t="s">
        <v>250</v>
      </c>
      <c r="G272" s="9" t="s">
        <v>4</v>
      </c>
      <c r="H272" s="10"/>
      <c r="I272" s="28"/>
      <c r="J272" s="7"/>
    </row>
    <row r="273" spans="1:10" ht="25.5" x14ac:dyDescent="0.2">
      <c r="A273" s="2" t="s">
        <v>4</v>
      </c>
      <c r="B273" s="8" t="s">
        <v>4</v>
      </c>
      <c r="C273" s="19" t="s">
        <v>4</v>
      </c>
      <c r="D273" s="22" t="s">
        <v>4</v>
      </c>
      <c r="E273" s="21">
        <v>2</v>
      </c>
      <c r="F273" s="22" t="s">
        <v>249</v>
      </c>
      <c r="G273" s="9" t="s">
        <v>4</v>
      </c>
      <c r="H273" s="10"/>
      <c r="I273" s="28"/>
      <c r="J273" s="7"/>
    </row>
    <row r="274" spans="1:10" ht="51" x14ac:dyDescent="0.2">
      <c r="A274" s="2" t="s">
        <v>4</v>
      </c>
      <c r="B274" s="8" t="s">
        <v>4</v>
      </c>
      <c r="C274" s="19" t="s">
        <v>4</v>
      </c>
      <c r="D274" s="22" t="s">
        <v>4</v>
      </c>
      <c r="E274" s="21">
        <v>3</v>
      </c>
      <c r="F274" s="22" t="s">
        <v>248</v>
      </c>
      <c r="G274" s="9" t="s">
        <v>4</v>
      </c>
      <c r="H274" s="10"/>
      <c r="I274" s="28"/>
      <c r="J274" s="7"/>
    </row>
    <row r="275" spans="1:10" ht="38.25" x14ac:dyDescent="0.2">
      <c r="A275" s="2" t="s">
        <v>4</v>
      </c>
      <c r="B275" s="8" t="s">
        <v>4</v>
      </c>
      <c r="C275" s="147" t="s">
        <v>359</v>
      </c>
      <c r="D275" s="23" t="s">
        <v>97</v>
      </c>
      <c r="E275" s="21" t="s">
        <v>4</v>
      </c>
      <c r="F275" s="22" t="s">
        <v>4</v>
      </c>
      <c r="G275" s="9" t="s">
        <v>4</v>
      </c>
      <c r="H275" s="10">
        <v>3</v>
      </c>
      <c r="I275" s="28">
        <v>2</v>
      </c>
      <c r="J275" s="7"/>
    </row>
    <row r="276" spans="1:10" x14ac:dyDescent="0.2">
      <c r="A276" s="2" t="s">
        <v>4</v>
      </c>
      <c r="B276" s="8" t="s">
        <v>4</v>
      </c>
      <c r="C276" s="19" t="s">
        <v>4</v>
      </c>
      <c r="D276" s="22" t="s">
        <v>4</v>
      </c>
      <c r="E276" s="21">
        <v>0</v>
      </c>
      <c r="F276" s="22" t="s">
        <v>18</v>
      </c>
      <c r="G276" s="9" t="s">
        <v>4</v>
      </c>
      <c r="H276" s="10"/>
      <c r="I276" s="28"/>
      <c r="J276" s="7"/>
    </row>
    <row r="277" spans="1:10" ht="25.5" x14ac:dyDescent="0.2">
      <c r="A277" s="2" t="s">
        <v>4</v>
      </c>
      <c r="B277" s="8" t="s">
        <v>4</v>
      </c>
      <c r="C277" s="19" t="s">
        <v>4</v>
      </c>
      <c r="D277" s="22" t="s">
        <v>4</v>
      </c>
      <c r="E277" s="21">
        <v>1</v>
      </c>
      <c r="F277" s="22" t="s">
        <v>98</v>
      </c>
      <c r="G277" s="9" t="s">
        <v>4</v>
      </c>
      <c r="H277" s="10"/>
      <c r="I277" s="28"/>
      <c r="J277" s="7"/>
    </row>
    <row r="278" spans="1:10" x14ac:dyDescent="0.2">
      <c r="A278" s="2" t="s">
        <v>4</v>
      </c>
      <c r="B278" s="8" t="s">
        <v>4</v>
      </c>
      <c r="C278" s="19" t="s">
        <v>4</v>
      </c>
      <c r="D278" s="22" t="s">
        <v>4</v>
      </c>
      <c r="E278" s="21">
        <v>2</v>
      </c>
      <c r="F278" s="22" t="s">
        <v>99</v>
      </c>
      <c r="G278" s="9" t="s">
        <v>4</v>
      </c>
      <c r="H278" s="10"/>
      <c r="I278" s="28"/>
      <c r="J278" s="7"/>
    </row>
    <row r="279" spans="1:10" ht="25.5" x14ac:dyDescent="0.2">
      <c r="A279" s="2" t="s">
        <v>4</v>
      </c>
      <c r="B279" s="8" t="s">
        <v>4</v>
      </c>
      <c r="C279" s="19" t="s">
        <v>4</v>
      </c>
      <c r="D279" s="22" t="s">
        <v>4</v>
      </c>
      <c r="E279" s="21">
        <v>3</v>
      </c>
      <c r="F279" s="22" t="s">
        <v>124</v>
      </c>
      <c r="G279" s="9" t="s">
        <v>4</v>
      </c>
      <c r="H279" s="10"/>
      <c r="I279" s="28"/>
      <c r="J279" s="7"/>
    </row>
    <row r="280" spans="1:10" ht="13.5" thickBot="1" x14ac:dyDescent="0.25">
      <c r="A280" s="2" t="s">
        <v>100</v>
      </c>
      <c r="B280" s="8" t="s">
        <v>148</v>
      </c>
      <c r="C280" s="16" t="s">
        <v>4</v>
      </c>
      <c r="D280" s="22" t="s">
        <v>4</v>
      </c>
      <c r="E280" s="21" t="s">
        <v>4</v>
      </c>
      <c r="F280" s="22" t="s">
        <v>4</v>
      </c>
      <c r="G280" s="9" t="s">
        <v>4</v>
      </c>
      <c r="H280" s="9"/>
      <c r="I280" s="16" t="s">
        <v>4</v>
      </c>
      <c r="J280" s="7"/>
    </row>
    <row r="281" spans="1:10" x14ac:dyDescent="0.2">
      <c r="A281" s="2" t="s">
        <v>4</v>
      </c>
      <c r="B281" s="40" t="s">
        <v>4</v>
      </c>
      <c r="C281" s="103" t="s">
        <v>331</v>
      </c>
      <c r="D281" s="106" t="s">
        <v>252</v>
      </c>
      <c r="E281" s="92" t="s">
        <v>4</v>
      </c>
      <c r="F281" s="82" t="s">
        <v>303</v>
      </c>
      <c r="G281" s="83" t="s">
        <v>4</v>
      </c>
      <c r="H281" s="84">
        <v>4</v>
      </c>
      <c r="I281" s="85">
        <v>0.2</v>
      </c>
      <c r="J281" s="7"/>
    </row>
    <row r="282" spans="1:10" x14ac:dyDescent="0.2">
      <c r="A282" s="2"/>
      <c r="B282" s="40"/>
      <c r="C282" s="86"/>
      <c r="D282" s="20" t="s">
        <v>253</v>
      </c>
      <c r="E282" s="21"/>
      <c r="F282" s="22" t="s">
        <v>304</v>
      </c>
      <c r="G282" s="9"/>
      <c r="H282" s="10">
        <v>4</v>
      </c>
      <c r="I282" s="87">
        <v>0.2</v>
      </c>
      <c r="J282" s="7"/>
    </row>
    <row r="283" spans="1:10" x14ac:dyDescent="0.2">
      <c r="A283" s="2"/>
      <c r="B283" s="40"/>
      <c r="C283" s="86"/>
      <c r="D283" s="20" t="s">
        <v>254</v>
      </c>
      <c r="E283" s="21"/>
      <c r="F283" s="22" t="s">
        <v>305</v>
      </c>
      <c r="G283" s="9"/>
      <c r="H283" s="10">
        <v>4</v>
      </c>
      <c r="I283" s="87">
        <v>0.2</v>
      </c>
      <c r="J283" s="7"/>
    </row>
    <row r="284" spans="1:10" x14ac:dyDescent="0.2">
      <c r="A284" s="2"/>
      <c r="B284" s="40"/>
      <c r="C284" s="86"/>
      <c r="D284" s="20" t="s">
        <v>255</v>
      </c>
      <c r="E284" s="21"/>
      <c r="F284" s="22" t="s">
        <v>306</v>
      </c>
      <c r="G284" s="9"/>
      <c r="H284" s="10">
        <v>4</v>
      </c>
      <c r="I284" s="87">
        <v>0.2</v>
      </c>
      <c r="J284" s="7"/>
    </row>
    <row r="285" spans="1:10" x14ac:dyDescent="0.2">
      <c r="A285" s="2"/>
      <c r="B285" s="40"/>
      <c r="C285" s="86"/>
      <c r="D285" s="20" t="s">
        <v>256</v>
      </c>
      <c r="E285" s="21"/>
      <c r="F285" s="22" t="s">
        <v>307</v>
      </c>
      <c r="G285" s="9"/>
      <c r="H285" s="10">
        <v>4</v>
      </c>
      <c r="I285" s="87">
        <v>0.2</v>
      </c>
      <c r="J285" s="7"/>
    </row>
    <row r="286" spans="1:10" ht="25.5" x14ac:dyDescent="0.2">
      <c r="A286" s="2"/>
      <c r="B286" s="40"/>
      <c r="C286" s="86"/>
      <c r="D286" s="20" t="s">
        <v>257</v>
      </c>
      <c r="E286" s="21"/>
      <c r="F286" s="22" t="s">
        <v>308</v>
      </c>
      <c r="G286" s="9"/>
      <c r="H286" s="10">
        <v>4</v>
      </c>
      <c r="I286" s="87">
        <v>0.2</v>
      </c>
      <c r="J286" s="7"/>
    </row>
    <row r="287" spans="1:10" x14ac:dyDescent="0.2">
      <c r="A287" s="2"/>
      <c r="B287" s="40"/>
      <c r="C287" s="86"/>
      <c r="D287" s="20" t="s">
        <v>258</v>
      </c>
      <c r="E287" s="21"/>
      <c r="F287" s="22" t="s">
        <v>309</v>
      </c>
      <c r="G287" s="9"/>
      <c r="H287" s="10">
        <v>4</v>
      </c>
      <c r="I287" s="87">
        <v>0.2</v>
      </c>
      <c r="J287" s="7"/>
    </row>
    <row r="288" spans="1:10" ht="38.25" x14ac:dyDescent="0.2">
      <c r="A288" s="2"/>
      <c r="B288" s="40"/>
      <c r="C288" s="86"/>
      <c r="D288" s="20" t="s">
        <v>259</v>
      </c>
      <c r="E288" s="21"/>
      <c r="F288" s="22" t="s">
        <v>310</v>
      </c>
      <c r="G288" s="9"/>
      <c r="H288" s="10">
        <v>4</v>
      </c>
      <c r="I288" s="87">
        <v>0.2</v>
      </c>
      <c r="J288" s="7"/>
    </row>
    <row r="289" spans="1:10" ht="25.5" x14ac:dyDescent="0.2">
      <c r="A289" s="2"/>
      <c r="B289" s="40"/>
      <c r="C289" s="86"/>
      <c r="D289" s="20" t="s">
        <v>260</v>
      </c>
      <c r="E289" s="21"/>
      <c r="F289" s="22" t="s">
        <v>311</v>
      </c>
      <c r="G289" s="9"/>
      <c r="H289" s="10">
        <v>4</v>
      </c>
      <c r="I289" s="87">
        <v>0.2</v>
      </c>
      <c r="J289" s="7"/>
    </row>
    <row r="290" spans="1:10" ht="25.5" x14ac:dyDescent="0.2">
      <c r="A290" s="2"/>
      <c r="B290" s="40"/>
      <c r="C290" s="86"/>
      <c r="D290" s="20" t="s">
        <v>261</v>
      </c>
      <c r="E290" s="21"/>
      <c r="F290" s="22" t="s">
        <v>312</v>
      </c>
      <c r="G290" s="9"/>
      <c r="H290" s="10">
        <v>4</v>
      </c>
      <c r="I290" s="87">
        <v>0.2</v>
      </c>
      <c r="J290" s="7"/>
    </row>
    <row r="291" spans="1:10" x14ac:dyDescent="0.2">
      <c r="A291" s="2"/>
      <c r="B291" s="40"/>
      <c r="C291" s="86"/>
      <c r="D291" s="20" t="s">
        <v>262</v>
      </c>
      <c r="E291" s="21"/>
      <c r="F291" s="22" t="s">
        <v>313</v>
      </c>
      <c r="G291" s="9"/>
      <c r="H291" s="10">
        <v>4</v>
      </c>
      <c r="I291" s="87">
        <v>0.4</v>
      </c>
      <c r="J291" s="7"/>
    </row>
    <row r="292" spans="1:10" x14ac:dyDescent="0.2">
      <c r="A292" s="2"/>
      <c r="B292" s="40"/>
      <c r="C292" s="86"/>
      <c r="D292" s="20" t="s">
        <v>263</v>
      </c>
      <c r="E292" s="21"/>
      <c r="F292" s="22" t="s">
        <v>314</v>
      </c>
      <c r="G292" s="9"/>
      <c r="H292" s="10">
        <v>4</v>
      </c>
      <c r="I292" s="87">
        <v>0.4</v>
      </c>
      <c r="J292" s="7"/>
    </row>
    <row r="293" spans="1:10" x14ac:dyDescent="0.2">
      <c r="A293" s="2"/>
      <c r="B293" s="40"/>
      <c r="C293" s="86"/>
      <c r="D293" s="20" t="s">
        <v>264</v>
      </c>
      <c r="E293" s="21"/>
      <c r="F293" s="22" t="s">
        <v>315</v>
      </c>
      <c r="G293" s="9"/>
      <c r="H293" s="10">
        <v>4</v>
      </c>
      <c r="I293" s="87">
        <v>0.4</v>
      </c>
      <c r="J293" s="7"/>
    </row>
    <row r="294" spans="1:10" ht="25.5" x14ac:dyDescent="0.2">
      <c r="A294" s="2"/>
      <c r="B294" s="40"/>
      <c r="C294" s="86"/>
      <c r="D294" s="20" t="s">
        <v>265</v>
      </c>
      <c r="E294" s="21"/>
      <c r="F294" s="22" t="s">
        <v>316</v>
      </c>
      <c r="G294" s="9"/>
      <c r="H294" s="10">
        <v>4</v>
      </c>
      <c r="I294" s="87">
        <v>0.4</v>
      </c>
      <c r="J294" s="7"/>
    </row>
    <row r="295" spans="1:10" ht="13.5" thickBot="1" x14ac:dyDescent="0.25">
      <c r="A295" s="3" t="s">
        <v>4</v>
      </c>
      <c r="B295" s="118" t="s">
        <v>4</v>
      </c>
      <c r="C295" s="89"/>
      <c r="D295" s="24" t="s">
        <v>266</v>
      </c>
      <c r="E295" s="25" t="s">
        <v>4</v>
      </c>
      <c r="F295" s="26" t="s">
        <v>317</v>
      </c>
      <c r="G295" s="12" t="s">
        <v>4</v>
      </c>
      <c r="H295" s="13">
        <v>4</v>
      </c>
      <c r="I295" s="90">
        <v>0.4</v>
      </c>
      <c r="J295" s="7"/>
    </row>
    <row r="297" spans="1:10" ht="20.25" x14ac:dyDescent="0.2">
      <c r="J297" s="5"/>
    </row>
  </sheetData>
  <autoFilter ref="C23:I295"/>
  <dataConsolidate>
    <dataRefs count="1">
      <dataRef ref="N36:P36" sheet="Критерии"/>
    </dataRefs>
  </dataConsolidate>
  <pageMargins left="0.39400000000000002" right="0.39400000000000002" top="0.86599999999999999" bottom="0.59099999999999997" header="0.19700000000000001" footer="0.19700000000000001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Критерии</vt:lpstr>
      <vt:lpstr>Критерии!Область_печати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БРЕДИС МАРИЯ СЕРГЕЕВНА</cp:lastModifiedBy>
  <cp:lastPrinted>2023-09-28T07:43:34Z</cp:lastPrinted>
  <dcterms:created xsi:type="dcterms:W3CDTF">2010-04-27T04:25:00Z</dcterms:created>
  <dcterms:modified xsi:type="dcterms:W3CDTF">2026-08-27T13:01:21Z</dcterms:modified>
</cp:coreProperties>
</file>